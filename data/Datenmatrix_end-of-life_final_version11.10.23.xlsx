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napedrosa/Documents/dokumente/Arbeit_Anna/Aktuelle Projekte/StudiePoD_PD/"/>
    </mc:Choice>
  </mc:AlternateContent>
  <xr:revisionPtr revIDLastSave="0" documentId="13_ncr:1_{AE492D07-EAD9-094E-9647-B193A04491AD}" xr6:coauthVersionLast="47" xr6:coauthVersionMax="47" xr10:uidLastSave="{00000000-0000-0000-0000-000000000000}"/>
  <bookViews>
    <workbookView xWindow="0" yWindow="760" windowWidth="30240" windowHeight="17740" xr2:uid="{00000000-000D-0000-FFFF-FFFF00000000}"/>
  </bookViews>
  <sheets>
    <sheet name="raw_data" sheetId="1" r:id="rId1"/>
    <sheet name="explanatios" sheetId="2" r:id="rId2"/>
    <sheet name="ledd" sheetId="3" r:id="rId3"/>
    <sheet name="working" sheetId="4" r:id="rId4"/>
  </sheets>
  <definedNames>
    <definedName name="_xlnm._FilterDatabase" localSheetId="0" hidden="1">raw_data!$A$1:$GA$369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O3" i="1" l="1"/>
  <c r="FO4" i="1"/>
  <c r="FO5" i="1"/>
  <c r="FO6" i="1"/>
  <c r="FO7" i="1"/>
  <c r="FO8" i="1"/>
  <c r="FO9" i="1"/>
  <c r="FO10" i="1"/>
  <c r="FO11" i="1"/>
  <c r="FO12" i="1"/>
  <c r="FO13" i="1"/>
  <c r="FO14" i="1"/>
  <c r="FO15" i="1"/>
  <c r="FO16" i="1"/>
  <c r="FO17" i="1"/>
  <c r="FO18" i="1"/>
  <c r="FO19" i="1"/>
  <c r="FO20" i="1"/>
  <c r="FO21" i="1"/>
  <c r="FO22" i="1"/>
  <c r="FO23" i="1"/>
  <c r="FO24" i="1"/>
  <c r="FO25" i="1"/>
  <c r="FO26" i="1"/>
  <c r="FO27" i="1"/>
  <c r="FO28" i="1"/>
  <c r="FO29" i="1"/>
  <c r="FO30" i="1"/>
  <c r="FO31" i="1"/>
  <c r="FO32" i="1"/>
  <c r="FO33" i="1"/>
  <c r="FO34" i="1"/>
  <c r="FO35" i="1"/>
  <c r="FO36" i="1"/>
  <c r="FO37" i="1"/>
  <c r="FO38" i="1"/>
  <c r="FO39" i="1"/>
  <c r="FO40" i="1"/>
  <c r="FO41" i="1"/>
  <c r="FO42" i="1"/>
  <c r="FO43" i="1"/>
  <c r="FO44" i="1"/>
  <c r="FO45" i="1"/>
  <c r="FO46" i="1"/>
  <c r="FO47" i="1"/>
  <c r="FO48" i="1"/>
  <c r="FO49" i="1"/>
  <c r="FO50" i="1"/>
  <c r="FO51" i="1"/>
  <c r="FO52" i="1"/>
  <c r="FO53" i="1"/>
  <c r="FO54" i="1"/>
  <c r="FO55" i="1"/>
  <c r="FO56" i="1"/>
  <c r="FO57" i="1"/>
  <c r="FO58" i="1"/>
  <c r="FO59" i="1"/>
  <c r="FO60" i="1"/>
  <c r="FO61" i="1"/>
  <c r="FO62" i="1"/>
  <c r="FO63" i="1"/>
  <c r="FO64" i="1"/>
  <c r="FO65" i="1"/>
  <c r="FO66" i="1"/>
  <c r="FO67" i="1"/>
  <c r="FO68" i="1"/>
  <c r="FO69" i="1"/>
  <c r="FO70" i="1"/>
  <c r="FO71" i="1"/>
  <c r="FO72" i="1"/>
  <c r="FO73" i="1"/>
  <c r="FO74" i="1"/>
  <c r="FO75" i="1"/>
  <c r="FO76" i="1"/>
  <c r="FO77" i="1"/>
  <c r="FO78" i="1"/>
  <c r="FO79" i="1"/>
  <c r="FO80" i="1"/>
  <c r="FO81" i="1"/>
  <c r="FO82" i="1"/>
  <c r="FO83" i="1"/>
  <c r="FO84" i="1"/>
  <c r="FO85" i="1"/>
  <c r="FO86" i="1"/>
  <c r="FO87" i="1"/>
  <c r="FO88" i="1"/>
  <c r="FO89" i="1"/>
  <c r="FO90" i="1"/>
  <c r="FO91" i="1"/>
  <c r="FO92" i="1"/>
  <c r="FO93" i="1"/>
  <c r="FO94" i="1"/>
  <c r="FO95" i="1"/>
  <c r="FO2" i="1"/>
  <c r="CM3" i="1"/>
  <c r="CN3" i="1"/>
  <c r="CO3" i="1"/>
  <c r="CP3" i="1"/>
  <c r="CQ3" i="1"/>
  <c r="CR3" i="1"/>
  <c r="CS3" i="1"/>
  <c r="CT3" i="1"/>
  <c r="CM4" i="1"/>
  <c r="CN4" i="1"/>
  <c r="CO4" i="1"/>
  <c r="CP4" i="1"/>
  <c r="CQ4" i="1"/>
  <c r="CR4" i="1"/>
  <c r="CS4" i="1"/>
  <c r="CT4" i="1"/>
  <c r="CM5" i="1"/>
  <c r="CN5" i="1"/>
  <c r="CO5" i="1"/>
  <c r="CP5" i="1"/>
  <c r="CQ5" i="1"/>
  <c r="CR5" i="1"/>
  <c r="CS5" i="1"/>
  <c r="CT5" i="1"/>
  <c r="CM6" i="1"/>
  <c r="CN6" i="1"/>
  <c r="CO6" i="1"/>
  <c r="CP6" i="1"/>
  <c r="CQ6" i="1"/>
  <c r="CR6" i="1"/>
  <c r="CS6" i="1"/>
  <c r="CT6" i="1"/>
  <c r="CM7" i="1"/>
  <c r="CN7" i="1"/>
  <c r="CO7" i="1"/>
  <c r="CP7" i="1"/>
  <c r="CQ7" i="1"/>
  <c r="CR7" i="1"/>
  <c r="CS7" i="1"/>
  <c r="CT7" i="1"/>
  <c r="CM8" i="1"/>
  <c r="CN8" i="1"/>
  <c r="CO8" i="1"/>
  <c r="CP8" i="1"/>
  <c r="CQ8" i="1"/>
  <c r="CR8" i="1"/>
  <c r="CS8" i="1"/>
  <c r="CT8" i="1"/>
  <c r="CM9" i="1"/>
  <c r="CN9" i="1"/>
  <c r="CO9" i="1"/>
  <c r="CP9" i="1"/>
  <c r="CQ9" i="1"/>
  <c r="CR9" i="1"/>
  <c r="CS9" i="1"/>
  <c r="CT9" i="1"/>
  <c r="CM10" i="1"/>
  <c r="CN10" i="1"/>
  <c r="CO10" i="1"/>
  <c r="CP10" i="1"/>
  <c r="CQ10" i="1"/>
  <c r="CR10" i="1"/>
  <c r="CS10" i="1"/>
  <c r="CT10" i="1"/>
  <c r="CM11" i="1"/>
  <c r="CN11" i="1"/>
  <c r="CO11" i="1"/>
  <c r="CP11" i="1"/>
  <c r="CQ11" i="1"/>
  <c r="CR11" i="1"/>
  <c r="CS11" i="1"/>
  <c r="CT11" i="1"/>
  <c r="CM12" i="1"/>
  <c r="CN12" i="1"/>
  <c r="CO12" i="1"/>
  <c r="CP12" i="1"/>
  <c r="CQ12" i="1"/>
  <c r="CR12" i="1"/>
  <c r="CS12" i="1"/>
  <c r="CT12" i="1"/>
  <c r="CM13" i="1"/>
  <c r="CN13" i="1"/>
  <c r="CO13" i="1"/>
  <c r="CP13" i="1"/>
  <c r="CQ13" i="1"/>
  <c r="CR13" i="1"/>
  <c r="CS13" i="1"/>
  <c r="CT13" i="1"/>
  <c r="CM14" i="1"/>
  <c r="CN14" i="1"/>
  <c r="CO14" i="1"/>
  <c r="CP14" i="1"/>
  <c r="CQ14" i="1"/>
  <c r="CR14" i="1"/>
  <c r="CS14" i="1"/>
  <c r="CT14" i="1"/>
  <c r="CM15" i="1"/>
  <c r="CN15" i="1"/>
  <c r="CO15" i="1"/>
  <c r="CP15" i="1"/>
  <c r="CQ15" i="1"/>
  <c r="CR15" i="1"/>
  <c r="CS15" i="1"/>
  <c r="CT15" i="1"/>
  <c r="CM16" i="1"/>
  <c r="CN16" i="1"/>
  <c r="CO16" i="1"/>
  <c r="CP16" i="1"/>
  <c r="CQ16" i="1"/>
  <c r="CR16" i="1"/>
  <c r="CS16" i="1"/>
  <c r="CT16" i="1"/>
  <c r="CM17" i="1"/>
  <c r="CN17" i="1"/>
  <c r="CO17" i="1"/>
  <c r="CP17" i="1"/>
  <c r="CQ17" i="1"/>
  <c r="CR17" i="1"/>
  <c r="CS17" i="1"/>
  <c r="CT17" i="1"/>
  <c r="CM18" i="1"/>
  <c r="CN18" i="1"/>
  <c r="CO18" i="1"/>
  <c r="CP18" i="1"/>
  <c r="CQ18" i="1"/>
  <c r="CR18" i="1"/>
  <c r="CS18" i="1"/>
  <c r="CT18" i="1"/>
  <c r="CM19" i="1"/>
  <c r="CN19" i="1"/>
  <c r="CO19" i="1"/>
  <c r="CP19" i="1"/>
  <c r="CQ19" i="1"/>
  <c r="CR19" i="1"/>
  <c r="CS19" i="1"/>
  <c r="CT19" i="1"/>
  <c r="CM20" i="1"/>
  <c r="CN20" i="1"/>
  <c r="CO20" i="1"/>
  <c r="CP20" i="1"/>
  <c r="CQ20" i="1"/>
  <c r="CR20" i="1"/>
  <c r="CS20" i="1"/>
  <c r="CT20" i="1"/>
  <c r="CM21" i="1"/>
  <c r="CN21" i="1"/>
  <c r="CO21" i="1"/>
  <c r="CP21" i="1"/>
  <c r="CQ21" i="1"/>
  <c r="CR21" i="1"/>
  <c r="CS21" i="1"/>
  <c r="CT21" i="1"/>
  <c r="CM22" i="1"/>
  <c r="CN22" i="1"/>
  <c r="CO22" i="1"/>
  <c r="CP22" i="1"/>
  <c r="CQ22" i="1"/>
  <c r="CR22" i="1"/>
  <c r="CS22" i="1"/>
  <c r="CT22" i="1"/>
  <c r="CM23" i="1"/>
  <c r="CN23" i="1"/>
  <c r="CO23" i="1"/>
  <c r="CP23" i="1"/>
  <c r="CQ23" i="1"/>
  <c r="CR23" i="1"/>
  <c r="CS23" i="1"/>
  <c r="CT23" i="1"/>
  <c r="CM24" i="1"/>
  <c r="CN24" i="1"/>
  <c r="CO24" i="1"/>
  <c r="CP24" i="1"/>
  <c r="CQ24" i="1"/>
  <c r="CR24" i="1"/>
  <c r="CS24" i="1"/>
  <c r="CT24" i="1"/>
  <c r="CM25" i="1"/>
  <c r="CN25" i="1"/>
  <c r="CO25" i="1"/>
  <c r="CP25" i="1"/>
  <c r="CQ25" i="1"/>
  <c r="CR25" i="1"/>
  <c r="CS25" i="1"/>
  <c r="CT25" i="1"/>
  <c r="CM26" i="1"/>
  <c r="CN26" i="1"/>
  <c r="CO26" i="1"/>
  <c r="CP26" i="1"/>
  <c r="CQ26" i="1"/>
  <c r="CR26" i="1"/>
  <c r="CS26" i="1"/>
  <c r="CT26" i="1"/>
  <c r="CM27" i="1"/>
  <c r="CN27" i="1"/>
  <c r="CO27" i="1"/>
  <c r="CP27" i="1"/>
  <c r="CQ27" i="1"/>
  <c r="CR27" i="1"/>
  <c r="CS27" i="1"/>
  <c r="CT27" i="1"/>
  <c r="CM28" i="1"/>
  <c r="CN28" i="1"/>
  <c r="CO28" i="1"/>
  <c r="CP28" i="1"/>
  <c r="CQ28" i="1"/>
  <c r="CR28" i="1"/>
  <c r="CS28" i="1"/>
  <c r="CT28" i="1"/>
  <c r="CM29" i="1"/>
  <c r="CN29" i="1"/>
  <c r="CO29" i="1"/>
  <c r="CP29" i="1"/>
  <c r="CQ29" i="1"/>
  <c r="CR29" i="1"/>
  <c r="CS29" i="1"/>
  <c r="CT29" i="1"/>
  <c r="CM30" i="1"/>
  <c r="CN30" i="1"/>
  <c r="CO30" i="1"/>
  <c r="CP30" i="1"/>
  <c r="CQ30" i="1"/>
  <c r="CR30" i="1"/>
  <c r="CS30" i="1"/>
  <c r="CT30" i="1"/>
  <c r="CM31" i="1"/>
  <c r="CN31" i="1"/>
  <c r="CO31" i="1"/>
  <c r="CP31" i="1"/>
  <c r="CQ31" i="1"/>
  <c r="CR31" i="1"/>
  <c r="CS31" i="1"/>
  <c r="CT31" i="1"/>
  <c r="CM32" i="1"/>
  <c r="CN32" i="1"/>
  <c r="CO32" i="1"/>
  <c r="CP32" i="1"/>
  <c r="CQ32" i="1"/>
  <c r="CR32" i="1"/>
  <c r="CS32" i="1"/>
  <c r="CT32" i="1"/>
  <c r="CM33" i="1"/>
  <c r="CN33" i="1"/>
  <c r="CO33" i="1"/>
  <c r="CP33" i="1"/>
  <c r="CQ33" i="1"/>
  <c r="CR33" i="1"/>
  <c r="CS33" i="1"/>
  <c r="CT33" i="1"/>
  <c r="CM34" i="1"/>
  <c r="CN34" i="1"/>
  <c r="CO34" i="1"/>
  <c r="CP34" i="1"/>
  <c r="CQ34" i="1"/>
  <c r="CR34" i="1"/>
  <c r="CS34" i="1"/>
  <c r="CT34" i="1"/>
  <c r="CM35" i="1"/>
  <c r="CN35" i="1"/>
  <c r="CO35" i="1"/>
  <c r="CP35" i="1"/>
  <c r="CQ35" i="1"/>
  <c r="CR35" i="1"/>
  <c r="CS35" i="1"/>
  <c r="CT35" i="1"/>
  <c r="CM36" i="1"/>
  <c r="CN36" i="1"/>
  <c r="CO36" i="1"/>
  <c r="CP36" i="1"/>
  <c r="CQ36" i="1"/>
  <c r="CR36" i="1"/>
  <c r="CS36" i="1"/>
  <c r="CT36" i="1"/>
  <c r="CM37" i="1"/>
  <c r="CN37" i="1"/>
  <c r="CO37" i="1"/>
  <c r="CP37" i="1"/>
  <c r="CQ37" i="1"/>
  <c r="CR37" i="1"/>
  <c r="CS37" i="1"/>
  <c r="CT37" i="1"/>
  <c r="CM38" i="1"/>
  <c r="CN38" i="1"/>
  <c r="CO38" i="1"/>
  <c r="CP38" i="1"/>
  <c r="CQ38" i="1"/>
  <c r="CR38" i="1"/>
  <c r="CS38" i="1"/>
  <c r="CT38" i="1"/>
  <c r="CM39" i="1"/>
  <c r="CN39" i="1"/>
  <c r="CO39" i="1"/>
  <c r="CP39" i="1"/>
  <c r="CQ39" i="1"/>
  <c r="CR39" i="1"/>
  <c r="CS39" i="1"/>
  <c r="CT39" i="1"/>
  <c r="CM40" i="1"/>
  <c r="CN40" i="1"/>
  <c r="CO40" i="1"/>
  <c r="CP40" i="1"/>
  <c r="CQ40" i="1"/>
  <c r="CR40" i="1"/>
  <c r="CS40" i="1"/>
  <c r="CT40" i="1"/>
  <c r="CM41" i="1"/>
  <c r="CN41" i="1"/>
  <c r="CO41" i="1"/>
  <c r="CP41" i="1"/>
  <c r="CQ41" i="1"/>
  <c r="CR41" i="1"/>
  <c r="CS41" i="1"/>
  <c r="CT41" i="1"/>
  <c r="CM42" i="1"/>
  <c r="CN42" i="1"/>
  <c r="CO42" i="1"/>
  <c r="CP42" i="1"/>
  <c r="CQ42" i="1"/>
  <c r="CR42" i="1"/>
  <c r="CS42" i="1"/>
  <c r="CT42" i="1"/>
  <c r="CM43" i="1"/>
  <c r="CN43" i="1"/>
  <c r="CO43" i="1"/>
  <c r="CP43" i="1"/>
  <c r="CQ43" i="1"/>
  <c r="CR43" i="1"/>
  <c r="CS43" i="1"/>
  <c r="CT43" i="1"/>
  <c r="CM44" i="1"/>
  <c r="CN44" i="1"/>
  <c r="CO44" i="1"/>
  <c r="CP44" i="1"/>
  <c r="CQ44" i="1"/>
  <c r="CR44" i="1"/>
  <c r="CS44" i="1"/>
  <c r="CT44" i="1"/>
  <c r="CM45" i="1"/>
  <c r="CN45" i="1"/>
  <c r="CO45" i="1"/>
  <c r="CP45" i="1"/>
  <c r="CQ45" i="1"/>
  <c r="CR45" i="1"/>
  <c r="CS45" i="1"/>
  <c r="CT45" i="1"/>
  <c r="CM46" i="1"/>
  <c r="CN46" i="1"/>
  <c r="CO46" i="1"/>
  <c r="CP46" i="1"/>
  <c r="CQ46" i="1"/>
  <c r="CR46" i="1"/>
  <c r="CS46" i="1"/>
  <c r="CT46" i="1"/>
  <c r="CM47" i="1"/>
  <c r="CN47" i="1"/>
  <c r="CO47" i="1"/>
  <c r="CP47" i="1"/>
  <c r="CQ47" i="1"/>
  <c r="CR47" i="1"/>
  <c r="CS47" i="1"/>
  <c r="CT47" i="1"/>
  <c r="CM48" i="1"/>
  <c r="CN48" i="1"/>
  <c r="CO48" i="1"/>
  <c r="CP48" i="1"/>
  <c r="CQ48" i="1"/>
  <c r="CR48" i="1"/>
  <c r="CS48" i="1"/>
  <c r="CT48" i="1"/>
  <c r="CM49" i="1"/>
  <c r="CN49" i="1"/>
  <c r="CO49" i="1"/>
  <c r="CP49" i="1"/>
  <c r="CQ49" i="1"/>
  <c r="CR49" i="1"/>
  <c r="CS49" i="1"/>
  <c r="CT49" i="1"/>
  <c r="CM50" i="1"/>
  <c r="CN50" i="1"/>
  <c r="CO50" i="1"/>
  <c r="CP50" i="1"/>
  <c r="CQ50" i="1"/>
  <c r="CR50" i="1"/>
  <c r="CS50" i="1"/>
  <c r="CT50" i="1"/>
  <c r="CM51" i="1"/>
  <c r="CN51" i="1"/>
  <c r="CO51" i="1"/>
  <c r="CP51" i="1"/>
  <c r="CQ51" i="1"/>
  <c r="CR51" i="1"/>
  <c r="CS51" i="1"/>
  <c r="CT51" i="1"/>
  <c r="CM52" i="1"/>
  <c r="CN52" i="1"/>
  <c r="CO52" i="1"/>
  <c r="CP52" i="1"/>
  <c r="CQ52" i="1"/>
  <c r="CR52" i="1"/>
  <c r="CS52" i="1"/>
  <c r="CT52" i="1"/>
  <c r="CM53" i="1"/>
  <c r="CN53" i="1"/>
  <c r="CO53" i="1"/>
  <c r="CP53" i="1"/>
  <c r="CQ53" i="1"/>
  <c r="CR53" i="1"/>
  <c r="CS53" i="1"/>
  <c r="CT53" i="1"/>
  <c r="CM54" i="1"/>
  <c r="CN54" i="1"/>
  <c r="CO54" i="1"/>
  <c r="CP54" i="1"/>
  <c r="CQ54" i="1"/>
  <c r="CR54" i="1"/>
  <c r="CS54" i="1"/>
  <c r="CT54" i="1"/>
  <c r="CM55" i="1"/>
  <c r="CN55" i="1"/>
  <c r="CO55" i="1"/>
  <c r="CP55" i="1"/>
  <c r="CQ55" i="1"/>
  <c r="CR55" i="1"/>
  <c r="CS55" i="1"/>
  <c r="CT55" i="1"/>
  <c r="CM56" i="1"/>
  <c r="CN56" i="1"/>
  <c r="CO56" i="1"/>
  <c r="CP56" i="1"/>
  <c r="CQ56" i="1"/>
  <c r="CR56" i="1"/>
  <c r="CS56" i="1"/>
  <c r="CT56" i="1"/>
  <c r="CM57" i="1"/>
  <c r="CN57" i="1"/>
  <c r="CO57" i="1"/>
  <c r="CP57" i="1"/>
  <c r="CQ57" i="1"/>
  <c r="CR57" i="1"/>
  <c r="CS57" i="1"/>
  <c r="CT57" i="1"/>
  <c r="CM58" i="1"/>
  <c r="CN58" i="1"/>
  <c r="CO58" i="1"/>
  <c r="CP58" i="1"/>
  <c r="CQ58" i="1"/>
  <c r="CR58" i="1"/>
  <c r="CS58" i="1"/>
  <c r="CT58" i="1"/>
  <c r="CM59" i="1"/>
  <c r="CN59" i="1"/>
  <c r="CO59" i="1"/>
  <c r="CP59" i="1"/>
  <c r="CQ59" i="1"/>
  <c r="CR59" i="1"/>
  <c r="CS59" i="1"/>
  <c r="CT59" i="1"/>
  <c r="CM60" i="1"/>
  <c r="CN60" i="1"/>
  <c r="CO60" i="1"/>
  <c r="CP60" i="1"/>
  <c r="CQ60" i="1"/>
  <c r="CR60" i="1"/>
  <c r="CS60" i="1"/>
  <c r="CT60" i="1"/>
  <c r="CM61" i="1"/>
  <c r="CN61" i="1"/>
  <c r="CO61" i="1"/>
  <c r="CP61" i="1"/>
  <c r="CQ61" i="1"/>
  <c r="CR61" i="1"/>
  <c r="CS61" i="1"/>
  <c r="CT61" i="1"/>
  <c r="CM62" i="1"/>
  <c r="CN62" i="1"/>
  <c r="CO62" i="1"/>
  <c r="CP62" i="1"/>
  <c r="CQ62" i="1"/>
  <c r="CR62" i="1"/>
  <c r="CS62" i="1"/>
  <c r="CT62" i="1"/>
  <c r="CM63" i="1"/>
  <c r="CN63" i="1"/>
  <c r="CO63" i="1"/>
  <c r="CP63" i="1"/>
  <c r="CQ63" i="1"/>
  <c r="CR63" i="1"/>
  <c r="CS63" i="1"/>
  <c r="CT63" i="1"/>
  <c r="CM64" i="1"/>
  <c r="CN64" i="1"/>
  <c r="CO64" i="1"/>
  <c r="CP64" i="1"/>
  <c r="CQ64" i="1"/>
  <c r="CR64" i="1"/>
  <c r="CS64" i="1"/>
  <c r="CT64" i="1"/>
  <c r="CM65" i="1"/>
  <c r="CN65" i="1"/>
  <c r="CO65" i="1"/>
  <c r="CP65" i="1"/>
  <c r="CQ65" i="1"/>
  <c r="CR65" i="1"/>
  <c r="CS65" i="1"/>
  <c r="CT65" i="1"/>
  <c r="CM66" i="1"/>
  <c r="CN66" i="1"/>
  <c r="CO66" i="1"/>
  <c r="CP66" i="1"/>
  <c r="CQ66" i="1"/>
  <c r="CR66" i="1"/>
  <c r="CS66" i="1"/>
  <c r="CT66" i="1"/>
  <c r="CM67" i="1"/>
  <c r="CN67" i="1"/>
  <c r="CO67" i="1"/>
  <c r="CP67" i="1"/>
  <c r="CQ67" i="1"/>
  <c r="CR67" i="1"/>
  <c r="CS67" i="1"/>
  <c r="CT67" i="1"/>
  <c r="CM68" i="1"/>
  <c r="CN68" i="1"/>
  <c r="CO68" i="1"/>
  <c r="CP68" i="1"/>
  <c r="CQ68" i="1"/>
  <c r="CR68" i="1"/>
  <c r="CS68" i="1"/>
  <c r="CT68" i="1"/>
  <c r="CM69" i="1"/>
  <c r="CN69" i="1"/>
  <c r="CO69" i="1"/>
  <c r="CP69" i="1"/>
  <c r="CQ69" i="1"/>
  <c r="CR69" i="1"/>
  <c r="CS69" i="1"/>
  <c r="CT69" i="1"/>
  <c r="CM70" i="1"/>
  <c r="CN70" i="1"/>
  <c r="CO70" i="1"/>
  <c r="CP70" i="1"/>
  <c r="CQ70" i="1"/>
  <c r="CR70" i="1"/>
  <c r="CS70" i="1"/>
  <c r="CT70" i="1"/>
  <c r="CM71" i="1"/>
  <c r="CN71" i="1"/>
  <c r="CO71" i="1"/>
  <c r="CP71" i="1"/>
  <c r="CQ71" i="1"/>
  <c r="CR71" i="1"/>
  <c r="CS71" i="1"/>
  <c r="CT71" i="1"/>
  <c r="CM72" i="1"/>
  <c r="CN72" i="1"/>
  <c r="CO72" i="1"/>
  <c r="CP72" i="1"/>
  <c r="CQ72" i="1"/>
  <c r="CR72" i="1"/>
  <c r="CS72" i="1"/>
  <c r="CT72" i="1"/>
  <c r="CM73" i="1"/>
  <c r="CN73" i="1"/>
  <c r="CO73" i="1"/>
  <c r="CP73" i="1"/>
  <c r="CQ73" i="1"/>
  <c r="CR73" i="1"/>
  <c r="CS73" i="1"/>
  <c r="CT73" i="1"/>
  <c r="CM74" i="1"/>
  <c r="CN74" i="1"/>
  <c r="CO74" i="1"/>
  <c r="CP74" i="1"/>
  <c r="CQ74" i="1"/>
  <c r="CR74" i="1"/>
  <c r="CS74" i="1"/>
  <c r="CT74" i="1"/>
  <c r="CM75" i="1"/>
  <c r="CN75" i="1"/>
  <c r="CO75" i="1"/>
  <c r="CP75" i="1"/>
  <c r="CQ75" i="1"/>
  <c r="CR75" i="1"/>
  <c r="CS75" i="1"/>
  <c r="CT75" i="1"/>
  <c r="CM76" i="1"/>
  <c r="CN76" i="1"/>
  <c r="CO76" i="1"/>
  <c r="CP76" i="1"/>
  <c r="CQ76" i="1"/>
  <c r="CR76" i="1"/>
  <c r="CS76" i="1"/>
  <c r="CT76" i="1"/>
  <c r="CM77" i="1"/>
  <c r="CN77" i="1"/>
  <c r="CO77" i="1"/>
  <c r="CP77" i="1"/>
  <c r="CQ77" i="1"/>
  <c r="CR77" i="1"/>
  <c r="CS77" i="1"/>
  <c r="CT77" i="1"/>
  <c r="CM78" i="1"/>
  <c r="CN78" i="1"/>
  <c r="CO78" i="1"/>
  <c r="CP78" i="1"/>
  <c r="CQ78" i="1"/>
  <c r="CR78" i="1"/>
  <c r="CS78" i="1"/>
  <c r="CT78" i="1"/>
  <c r="CM79" i="1"/>
  <c r="CN79" i="1"/>
  <c r="CO79" i="1"/>
  <c r="CP79" i="1"/>
  <c r="CQ79" i="1"/>
  <c r="CR79" i="1"/>
  <c r="CS79" i="1"/>
  <c r="CT79" i="1"/>
  <c r="CM80" i="1"/>
  <c r="CN80" i="1"/>
  <c r="CO80" i="1"/>
  <c r="CP80" i="1"/>
  <c r="CQ80" i="1"/>
  <c r="CR80" i="1"/>
  <c r="CS80" i="1"/>
  <c r="CT80" i="1"/>
  <c r="CM81" i="1"/>
  <c r="CN81" i="1"/>
  <c r="CO81" i="1"/>
  <c r="CP81" i="1"/>
  <c r="CQ81" i="1"/>
  <c r="CR81" i="1"/>
  <c r="CS81" i="1"/>
  <c r="CT81" i="1"/>
  <c r="CM82" i="1"/>
  <c r="CN82" i="1"/>
  <c r="CO82" i="1"/>
  <c r="CP82" i="1"/>
  <c r="CQ82" i="1"/>
  <c r="CR82" i="1"/>
  <c r="CS82" i="1"/>
  <c r="CT82" i="1"/>
  <c r="CM83" i="1"/>
  <c r="CN83" i="1"/>
  <c r="CO83" i="1"/>
  <c r="CP83" i="1"/>
  <c r="CQ83" i="1"/>
  <c r="CR83" i="1"/>
  <c r="CS83" i="1"/>
  <c r="CT83" i="1"/>
  <c r="CM84" i="1"/>
  <c r="CN84" i="1"/>
  <c r="CO84" i="1"/>
  <c r="CP84" i="1"/>
  <c r="CQ84" i="1"/>
  <c r="CR84" i="1"/>
  <c r="CS84" i="1"/>
  <c r="CT84" i="1"/>
  <c r="CM85" i="1"/>
  <c r="CN85" i="1"/>
  <c r="CO85" i="1"/>
  <c r="CP85" i="1"/>
  <c r="CQ85" i="1"/>
  <c r="CR85" i="1"/>
  <c r="CS85" i="1"/>
  <c r="CT85" i="1"/>
  <c r="CM86" i="1"/>
  <c r="CN86" i="1"/>
  <c r="CO86" i="1"/>
  <c r="CP86" i="1"/>
  <c r="CQ86" i="1"/>
  <c r="CR86" i="1"/>
  <c r="CS86" i="1"/>
  <c r="CT86" i="1"/>
  <c r="CM87" i="1"/>
  <c r="CN87" i="1"/>
  <c r="CO87" i="1"/>
  <c r="CP87" i="1"/>
  <c r="CQ87" i="1"/>
  <c r="CR87" i="1"/>
  <c r="CS87" i="1"/>
  <c r="CT87" i="1"/>
  <c r="CM88" i="1"/>
  <c r="CN88" i="1"/>
  <c r="CO88" i="1"/>
  <c r="CP88" i="1"/>
  <c r="CQ88" i="1"/>
  <c r="CR88" i="1"/>
  <c r="CS88" i="1"/>
  <c r="CT88" i="1"/>
  <c r="CM89" i="1"/>
  <c r="CN89" i="1"/>
  <c r="CO89" i="1"/>
  <c r="CP89" i="1"/>
  <c r="CQ89" i="1"/>
  <c r="CR89" i="1"/>
  <c r="CS89" i="1"/>
  <c r="CT89" i="1"/>
  <c r="CM90" i="1"/>
  <c r="CN90" i="1"/>
  <c r="CO90" i="1"/>
  <c r="CP90" i="1"/>
  <c r="CQ90" i="1"/>
  <c r="CR90" i="1"/>
  <c r="CS90" i="1"/>
  <c r="CT90" i="1"/>
  <c r="CM91" i="1"/>
  <c r="CN91" i="1"/>
  <c r="CO91" i="1"/>
  <c r="CP91" i="1"/>
  <c r="CQ91" i="1"/>
  <c r="CR91" i="1"/>
  <c r="CS91" i="1"/>
  <c r="CT91" i="1"/>
  <c r="CM92" i="1"/>
  <c r="CN92" i="1"/>
  <c r="CO92" i="1"/>
  <c r="CP92" i="1"/>
  <c r="CQ92" i="1"/>
  <c r="CR92" i="1"/>
  <c r="CS92" i="1"/>
  <c r="CT92" i="1"/>
  <c r="CM93" i="1"/>
  <c r="CN93" i="1"/>
  <c r="CO93" i="1"/>
  <c r="CP93" i="1"/>
  <c r="CQ93" i="1"/>
  <c r="CR93" i="1"/>
  <c r="CS93" i="1"/>
  <c r="CT93" i="1"/>
  <c r="CM94" i="1"/>
  <c r="CN94" i="1"/>
  <c r="CO94" i="1"/>
  <c r="CP94" i="1"/>
  <c r="CQ94" i="1"/>
  <c r="CR94" i="1"/>
  <c r="CS94" i="1"/>
  <c r="CT94" i="1"/>
  <c r="CM95" i="1"/>
  <c r="CN95" i="1"/>
  <c r="CO95" i="1"/>
  <c r="CP95" i="1"/>
  <c r="CQ95" i="1"/>
  <c r="CR95" i="1"/>
  <c r="CS95" i="1"/>
  <c r="CT95" i="1"/>
  <c r="CM2" i="1"/>
  <c r="CR2" i="1"/>
  <c r="CQ2" i="1"/>
  <c r="CT2" i="1"/>
  <c r="CS2" i="1"/>
  <c r="CP2" i="1"/>
  <c r="CO2" i="1"/>
  <c r="CN2" i="1"/>
  <c r="A2" i="4"/>
  <c r="A1" i="4"/>
  <c r="FX95" i="1"/>
  <c r="FN95" i="1"/>
  <c r="FG95" i="1"/>
  <c r="DY95" i="1"/>
  <c r="DK95" i="1"/>
  <c r="AI95" i="1"/>
  <c r="G95" i="1"/>
  <c r="FZ95" i="1" s="1"/>
  <c r="FX94" i="1"/>
  <c r="FN94" i="1"/>
  <c r="FG94" i="1"/>
  <c r="DY94" i="1"/>
  <c r="DK94" i="1"/>
  <c r="AI94" i="1"/>
  <c r="G94" i="1"/>
  <c r="FZ94" i="1" s="1"/>
  <c r="FX93" i="1"/>
  <c r="FN93" i="1"/>
  <c r="FG93" i="1"/>
  <c r="DY93" i="1"/>
  <c r="DK93" i="1"/>
  <c r="AI93" i="1"/>
  <c r="G93" i="1"/>
  <c r="FZ93" i="1" s="1"/>
  <c r="FX92" i="1"/>
  <c r="FN92" i="1"/>
  <c r="FG92" i="1"/>
  <c r="DY92" i="1"/>
  <c r="DK92" i="1"/>
  <c r="AI92" i="1"/>
  <c r="G92" i="1"/>
  <c r="FZ92" i="1" s="1"/>
  <c r="FX91" i="1"/>
  <c r="FN91" i="1"/>
  <c r="FG91" i="1"/>
  <c r="DY91" i="1"/>
  <c r="DK91" i="1"/>
  <c r="AI91" i="1"/>
  <c r="G91" i="1"/>
  <c r="FZ91" i="1" s="1"/>
  <c r="FX90" i="1"/>
  <c r="FN90" i="1"/>
  <c r="FG90" i="1"/>
  <c r="DY90" i="1"/>
  <c r="DK90" i="1"/>
  <c r="AI90" i="1"/>
  <c r="G90" i="1"/>
  <c r="I90" i="1" s="1"/>
  <c r="FX89" i="1"/>
  <c r="FN89" i="1"/>
  <c r="FG89" i="1"/>
  <c r="DY89" i="1"/>
  <c r="DK89" i="1"/>
  <c r="AI89" i="1"/>
  <c r="G89" i="1"/>
  <c r="FZ89" i="1" s="1"/>
  <c r="FX88" i="1"/>
  <c r="FN88" i="1"/>
  <c r="FG88" i="1"/>
  <c r="DY88" i="1"/>
  <c r="DK88" i="1"/>
  <c r="AI88" i="1"/>
  <c r="G88" i="1"/>
  <c r="FZ88" i="1" s="1"/>
  <c r="FX87" i="1"/>
  <c r="FN87" i="1"/>
  <c r="FG87" i="1"/>
  <c r="DY87" i="1"/>
  <c r="DK87" i="1"/>
  <c r="AI87" i="1"/>
  <c r="G87" i="1"/>
  <c r="FZ87" i="1" s="1"/>
  <c r="FX86" i="1"/>
  <c r="FN86" i="1"/>
  <c r="FG86" i="1"/>
  <c r="DY86" i="1"/>
  <c r="DK86" i="1"/>
  <c r="G86" i="1"/>
  <c r="FZ86" i="1" s="1"/>
  <c r="FX85" i="1"/>
  <c r="FN85" i="1"/>
  <c r="FG85" i="1"/>
  <c r="DY85" i="1"/>
  <c r="DK85" i="1"/>
  <c r="AI85" i="1"/>
  <c r="G85" i="1"/>
  <c r="FZ85" i="1" s="1"/>
  <c r="FX84" i="1"/>
  <c r="FN84" i="1"/>
  <c r="FG84" i="1"/>
  <c r="DY84" i="1"/>
  <c r="DK84" i="1"/>
  <c r="AI84" i="1"/>
  <c r="G84" i="1"/>
  <c r="FZ84" i="1" s="1"/>
  <c r="FX83" i="1"/>
  <c r="FN83" i="1"/>
  <c r="FG83" i="1"/>
  <c r="DY83" i="1"/>
  <c r="DK83" i="1"/>
  <c r="AI83" i="1"/>
  <c r="G83" i="1"/>
  <c r="FZ83" i="1" s="1"/>
  <c r="FX82" i="1"/>
  <c r="FN82" i="1"/>
  <c r="FG82" i="1"/>
  <c r="DY82" i="1"/>
  <c r="DK82" i="1"/>
  <c r="AI82" i="1"/>
  <c r="G82" i="1"/>
  <c r="FZ82" i="1" s="1"/>
  <c r="FX81" i="1"/>
  <c r="FN81" i="1"/>
  <c r="FG81" i="1"/>
  <c r="DY81" i="1"/>
  <c r="DK81" i="1"/>
  <c r="AI81" i="1"/>
  <c r="G81" i="1"/>
  <c r="FZ81" i="1" s="1"/>
  <c r="FX80" i="1"/>
  <c r="FN80" i="1"/>
  <c r="FG80" i="1"/>
  <c r="DY80" i="1"/>
  <c r="DK80" i="1"/>
  <c r="AI80" i="1"/>
  <c r="G80" i="1"/>
  <c r="FZ80" i="1" s="1"/>
  <c r="FX79" i="1"/>
  <c r="FN79" i="1"/>
  <c r="FG79" i="1"/>
  <c r="DY79" i="1"/>
  <c r="DK79" i="1"/>
  <c r="AI79" i="1"/>
  <c r="G79" i="1"/>
  <c r="FZ79" i="1" s="1"/>
  <c r="FX78" i="1"/>
  <c r="FN78" i="1"/>
  <c r="FG78" i="1"/>
  <c r="DY78" i="1"/>
  <c r="DK78" i="1"/>
  <c r="AI78" i="1"/>
  <c r="G78" i="1"/>
  <c r="I78" i="1" s="1"/>
  <c r="FX77" i="1"/>
  <c r="FN77" i="1"/>
  <c r="FG77" i="1"/>
  <c r="DY77" i="1"/>
  <c r="DK77" i="1"/>
  <c r="AI77" i="1"/>
  <c r="G77" i="1"/>
  <c r="FZ77" i="1" s="1"/>
  <c r="FX76" i="1"/>
  <c r="FN76" i="1"/>
  <c r="FG76" i="1"/>
  <c r="DY76" i="1"/>
  <c r="DK76" i="1"/>
  <c r="AI76" i="1"/>
  <c r="G76" i="1"/>
  <c r="FZ76" i="1" s="1"/>
  <c r="FX75" i="1"/>
  <c r="FN75" i="1"/>
  <c r="FG75" i="1"/>
  <c r="DY75" i="1"/>
  <c r="DK75" i="1"/>
  <c r="AI75" i="1"/>
  <c r="G75" i="1"/>
  <c r="FZ75" i="1" s="1"/>
  <c r="FX74" i="1"/>
  <c r="FN74" i="1"/>
  <c r="FG74" i="1"/>
  <c r="DY74" i="1"/>
  <c r="DK74" i="1"/>
  <c r="AI74" i="1"/>
  <c r="G74" i="1"/>
  <c r="FZ74" i="1" s="1"/>
  <c r="FX73" i="1"/>
  <c r="FN73" i="1"/>
  <c r="FG73" i="1"/>
  <c r="DY73" i="1"/>
  <c r="DK73" i="1"/>
  <c r="AI73" i="1"/>
  <c r="G73" i="1"/>
  <c r="FZ73" i="1" s="1"/>
  <c r="FX72" i="1"/>
  <c r="FN72" i="1"/>
  <c r="FG72" i="1"/>
  <c r="DY72" i="1"/>
  <c r="DK72" i="1"/>
  <c r="AI72" i="1"/>
  <c r="G72" i="1"/>
  <c r="FZ72" i="1" s="1"/>
  <c r="FX71" i="1"/>
  <c r="FN71" i="1"/>
  <c r="FG71" i="1"/>
  <c r="DY71" i="1"/>
  <c r="DK71" i="1"/>
  <c r="AI71" i="1"/>
  <c r="G71" i="1"/>
  <c r="FZ71" i="1" s="1"/>
  <c r="FX70" i="1"/>
  <c r="FN70" i="1"/>
  <c r="FG70" i="1"/>
  <c r="DY70" i="1"/>
  <c r="DK70" i="1"/>
  <c r="AI70" i="1"/>
  <c r="G70" i="1"/>
  <c r="FZ70" i="1" s="1"/>
  <c r="FX69" i="1"/>
  <c r="FN69" i="1"/>
  <c r="FG69" i="1"/>
  <c r="DY69" i="1"/>
  <c r="DK69" i="1"/>
  <c r="AI69" i="1"/>
  <c r="G69" i="1"/>
  <c r="FZ69" i="1" s="1"/>
  <c r="FX68" i="1"/>
  <c r="FN68" i="1"/>
  <c r="FG68" i="1"/>
  <c r="DY68" i="1"/>
  <c r="DK68" i="1"/>
  <c r="AI68" i="1"/>
  <c r="G68" i="1"/>
  <c r="FZ68" i="1" s="1"/>
  <c r="FX67" i="1"/>
  <c r="FN67" i="1"/>
  <c r="FG67" i="1"/>
  <c r="DY67" i="1"/>
  <c r="DK67" i="1"/>
  <c r="AI67" i="1"/>
  <c r="G67" i="1"/>
  <c r="FZ67" i="1" s="1"/>
  <c r="FX66" i="1"/>
  <c r="FN66" i="1"/>
  <c r="FG66" i="1"/>
  <c r="DY66" i="1"/>
  <c r="DK66" i="1"/>
  <c r="AI66" i="1"/>
  <c r="G66" i="1"/>
  <c r="I66" i="1" s="1"/>
  <c r="FX65" i="1"/>
  <c r="FN65" i="1"/>
  <c r="FG65" i="1"/>
  <c r="DY65" i="1"/>
  <c r="DK65" i="1"/>
  <c r="AI65" i="1"/>
  <c r="G65" i="1"/>
  <c r="FZ65" i="1" s="1"/>
  <c r="FX64" i="1"/>
  <c r="FN64" i="1"/>
  <c r="FG64" i="1"/>
  <c r="DY64" i="1"/>
  <c r="DK64" i="1"/>
  <c r="AI64" i="1"/>
  <c r="G64" i="1"/>
  <c r="FZ64" i="1" s="1"/>
  <c r="FX63" i="1"/>
  <c r="FN63" i="1"/>
  <c r="FG63" i="1"/>
  <c r="DY63" i="1"/>
  <c r="DK63" i="1"/>
  <c r="AI63" i="1"/>
  <c r="G63" i="1"/>
  <c r="FZ63" i="1" s="1"/>
  <c r="FX62" i="1"/>
  <c r="FN62" i="1"/>
  <c r="FG62" i="1"/>
  <c r="DY62" i="1"/>
  <c r="DK62" i="1"/>
  <c r="AI62" i="1"/>
  <c r="G62" i="1"/>
  <c r="I62" i="1" s="1"/>
  <c r="FX61" i="1"/>
  <c r="FN61" i="1"/>
  <c r="FG61" i="1"/>
  <c r="DY61" i="1"/>
  <c r="DK61" i="1"/>
  <c r="AI61" i="1"/>
  <c r="G61" i="1"/>
  <c r="FZ61" i="1" s="1"/>
  <c r="FX60" i="1"/>
  <c r="FN60" i="1"/>
  <c r="FG60" i="1"/>
  <c r="DY60" i="1"/>
  <c r="DK60" i="1"/>
  <c r="AI60" i="1"/>
  <c r="G60" i="1"/>
  <c r="FZ60" i="1" s="1"/>
  <c r="FX59" i="1"/>
  <c r="FN59" i="1"/>
  <c r="FG59" i="1"/>
  <c r="DY59" i="1"/>
  <c r="DK59" i="1"/>
  <c r="AI59" i="1"/>
  <c r="G59" i="1"/>
  <c r="FZ59" i="1" s="1"/>
  <c r="FX58" i="1"/>
  <c r="FN58" i="1"/>
  <c r="FG58" i="1"/>
  <c r="DY58" i="1"/>
  <c r="DK58" i="1"/>
  <c r="AI58" i="1"/>
  <c r="G58" i="1"/>
  <c r="FZ58" i="1" s="1"/>
  <c r="FX57" i="1"/>
  <c r="FN57" i="1"/>
  <c r="FG57" i="1"/>
  <c r="DY57" i="1"/>
  <c r="DK57" i="1"/>
  <c r="AI57" i="1"/>
  <c r="G57" i="1"/>
  <c r="FZ57" i="1" s="1"/>
  <c r="FX56" i="1"/>
  <c r="FN56" i="1"/>
  <c r="FG56" i="1"/>
  <c r="DY56" i="1"/>
  <c r="DK56" i="1"/>
  <c r="AI56" i="1"/>
  <c r="G56" i="1"/>
  <c r="FZ56" i="1" s="1"/>
  <c r="FX55" i="1"/>
  <c r="FN55" i="1"/>
  <c r="FG55" i="1"/>
  <c r="DY55" i="1"/>
  <c r="DK55" i="1"/>
  <c r="AI55" i="1"/>
  <c r="G55" i="1"/>
  <c r="FZ55" i="1" s="1"/>
  <c r="FX54" i="1"/>
  <c r="FN54" i="1"/>
  <c r="FG54" i="1"/>
  <c r="DY54" i="1"/>
  <c r="DK54" i="1"/>
  <c r="AI54" i="1"/>
  <c r="G54" i="1"/>
  <c r="FZ54" i="1" s="1"/>
  <c r="FX53" i="1"/>
  <c r="FN53" i="1"/>
  <c r="FG53" i="1"/>
  <c r="DY53" i="1"/>
  <c r="DK53" i="1"/>
  <c r="AI53" i="1"/>
  <c r="G53" i="1"/>
  <c r="FZ53" i="1" s="1"/>
  <c r="FX52" i="1"/>
  <c r="FN52" i="1"/>
  <c r="FG52" i="1"/>
  <c r="DY52" i="1"/>
  <c r="DK52" i="1"/>
  <c r="AI52" i="1"/>
  <c r="G52" i="1"/>
  <c r="FZ52" i="1" s="1"/>
  <c r="FX51" i="1"/>
  <c r="FN51" i="1"/>
  <c r="FG51" i="1"/>
  <c r="DY51" i="1"/>
  <c r="DK51" i="1"/>
  <c r="AI51" i="1"/>
  <c r="G51" i="1"/>
  <c r="FZ51" i="1" s="1"/>
  <c r="FX50" i="1"/>
  <c r="FN50" i="1"/>
  <c r="FG50" i="1"/>
  <c r="DY50" i="1"/>
  <c r="DK50" i="1"/>
  <c r="AI50" i="1"/>
  <c r="G50" i="1"/>
  <c r="FZ50" i="1" s="1"/>
  <c r="FX49" i="1"/>
  <c r="FN49" i="1"/>
  <c r="FG49" i="1"/>
  <c r="DY49" i="1"/>
  <c r="DK49" i="1"/>
  <c r="AI49" i="1"/>
  <c r="G49" i="1"/>
  <c r="FZ49" i="1" s="1"/>
  <c r="FX48" i="1"/>
  <c r="FN48" i="1"/>
  <c r="FG48" i="1"/>
  <c r="DY48" i="1"/>
  <c r="DK48" i="1"/>
  <c r="AI48" i="1"/>
  <c r="G48" i="1"/>
  <c r="FZ48" i="1" s="1"/>
  <c r="FX47" i="1"/>
  <c r="FN47" i="1"/>
  <c r="FG47" i="1"/>
  <c r="DY47" i="1"/>
  <c r="DK47" i="1"/>
  <c r="AI47" i="1"/>
  <c r="G47" i="1"/>
  <c r="FZ47" i="1" s="1"/>
  <c r="FX46" i="1"/>
  <c r="FN46" i="1"/>
  <c r="FG46" i="1"/>
  <c r="DY46" i="1"/>
  <c r="DK46" i="1"/>
  <c r="AI46" i="1"/>
  <c r="G46" i="1"/>
  <c r="FZ46" i="1" s="1"/>
  <c r="FX45" i="1"/>
  <c r="FN45" i="1"/>
  <c r="FG45" i="1"/>
  <c r="DY45" i="1"/>
  <c r="DK45" i="1"/>
  <c r="AI45" i="1"/>
  <c r="G45" i="1"/>
  <c r="FZ45" i="1" s="1"/>
  <c r="FX44" i="1"/>
  <c r="FN44" i="1"/>
  <c r="FG44" i="1"/>
  <c r="DY44" i="1"/>
  <c r="DK44" i="1"/>
  <c r="AI44" i="1"/>
  <c r="G44" i="1"/>
  <c r="FZ44" i="1" s="1"/>
  <c r="FX43" i="1"/>
  <c r="FN43" i="1"/>
  <c r="FG43" i="1"/>
  <c r="DY43" i="1"/>
  <c r="DK43" i="1"/>
  <c r="AI43" i="1"/>
  <c r="G43" i="1"/>
  <c r="FZ43" i="1" s="1"/>
  <c r="FX42" i="1"/>
  <c r="FN42" i="1"/>
  <c r="FG42" i="1"/>
  <c r="DY42" i="1"/>
  <c r="DK42" i="1"/>
  <c r="AI42" i="1"/>
  <c r="G42" i="1"/>
  <c r="FZ42" i="1" s="1"/>
  <c r="FX41" i="1"/>
  <c r="FN41" i="1"/>
  <c r="FG41" i="1"/>
  <c r="DY41" i="1"/>
  <c r="DK41" i="1"/>
  <c r="AI41" i="1"/>
  <c r="G41" i="1"/>
  <c r="FZ41" i="1" s="1"/>
  <c r="FX40" i="1"/>
  <c r="FN40" i="1"/>
  <c r="FG40" i="1"/>
  <c r="DY40" i="1"/>
  <c r="DK40" i="1"/>
  <c r="AI40" i="1"/>
  <c r="G40" i="1"/>
  <c r="FZ40" i="1" s="1"/>
  <c r="FX39" i="1"/>
  <c r="FN39" i="1"/>
  <c r="FG39" i="1"/>
  <c r="DY39" i="1"/>
  <c r="DK39" i="1"/>
  <c r="AI39" i="1"/>
  <c r="G39" i="1"/>
  <c r="FZ39" i="1" s="1"/>
  <c r="FX38" i="1"/>
  <c r="FN38" i="1"/>
  <c r="FG38" i="1"/>
  <c r="DY38" i="1"/>
  <c r="DK38" i="1"/>
  <c r="AI38" i="1"/>
  <c r="G38" i="1"/>
  <c r="FZ38" i="1" s="1"/>
  <c r="FX37" i="1"/>
  <c r="FN37" i="1"/>
  <c r="FG37" i="1"/>
  <c r="DY37" i="1"/>
  <c r="DK37" i="1"/>
  <c r="AI37" i="1"/>
  <c r="G37" i="1"/>
  <c r="FZ37" i="1" s="1"/>
  <c r="FX36" i="1"/>
  <c r="FN36" i="1"/>
  <c r="FG36" i="1"/>
  <c r="DY36" i="1"/>
  <c r="DK36" i="1"/>
  <c r="AI36" i="1"/>
  <c r="G36" i="1"/>
  <c r="FZ36" i="1" s="1"/>
  <c r="FX35" i="1"/>
  <c r="FN35" i="1"/>
  <c r="FG35" i="1"/>
  <c r="DY35" i="1"/>
  <c r="DK35" i="1"/>
  <c r="AI35" i="1"/>
  <c r="G35" i="1"/>
  <c r="FZ35" i="1" s="1"/>
  <c r="FX34" i="1"/>
  <c r="FN34" i="1"/>
  <c r="FG34" i="1"/>
  <c r="DY34" i="1"/>
  <c r="DK34" i="1"/>
  <c r="AI34" i="1"/>
  <c r="G34" i="1"/>
  <c r="FZ34" i="1" s="1"/>
  <c r="FX33" i="1"/>
  <c r="FN33" i="1"/>
  <c r="FG33" i="1"/>
  <c r="DY33" i="1"/>
  <c r="DK33" i="1"/>
  <c r="AI33" i="1"/>
  <c r="G33" i="1"/>
  <c r="FZ33" i="1" s="1"/>
  <c r="FX32" i="1"/>
  <c r="FN32" i="1"/>
  <c r="FG32" i="1"/>
  <c r="DY32" i="1"/>
  <c r="DK32" i="1"/>
  <c r="AI32" i="1"/>
  <c r="G32" i="1"/>
  <c r="FZ32" i="1" s="1"/>
  <c r="FX31" i="1"/>
  <c r="FN31" i="1"/>
  <c r="FG31" i="1"/>
  <c r="DY31" i="1"/>
  <c r="DK31" i="1"/>
  <c r="AI31" i="1"/>
  <c r="G31" i="1"/>
  <c r="FZ31" i="1" s="1"/>
  <c r="FX30" i="1"/>
  <c r="FN30" i="1"/>
  <c r="FG30" i="1"/>
  <c r="DY30" i="1"/>
  <c r="DK30" i="1"/>
  <c r="AI30" i="1"/>
  <c r="G30" i="1"/>
  <c r="FZ30" i="1" s="1"/>
  <c r="FX29" i="1"/>
  <c r="FN29" i="1"/>
  <c r="DY29" i="1"/>
  <c r="DK29" i="1"/>
  <c r="AI29" i="1"/>
  <c r="G29" i="1"/>
  <c r="FZ29" i="1" s="1"/>
  <c r="FX28" i="1"/>
  <c r="FN28" i="1"/>
  <c r="FG28" i="1"/>
  <c r="DY28" i="1"/>
  <c r="DK28" i="1"/>
  <c r="AI28" i="1"/>
  <c r="G28" i="1"/>
  <c r="FZ28" i="1" s="1"/>
  <c r="FX27" i="1"/>
  <c r="FN27" i="1"/>
  <c r="FG27" i="1"/>
  <c r="DY27" i="1"/>
  <c r="DK27" i="1"/>
  <c r="AI27" i="1"/>
  <c r="G27" i="1"/>
  <c r="FZ27" i="1" s="1"/>
  <c r="FX26" i="1"/>
  <c r="FN26" i="1"/>
  <c r="FG26" i="1"/>
  <c r="DY26" i="1"/>
  <c r="DK26" i="1"/>
  <c r="AI26" i="1"/>
  <c r="G26" i="1"/>
  <c r="FZ26" i="1" s="1"/>
  <c r="FX25" i="1"/>
  <c r="FN25" i="1"/>
  <c r="FG25" i="1"/>
  <c r="DY25" i="1"/>
  <c r="DK25" i="1"/>
  <c r="AI25" i="1"/>
  <c r="G25" i="1"/>
  <c r="FZ25" i="1" s="1"/>
  <c r="FX24" i="1"/>
  <c r="FN24" i="1"/>
  <c r="FG24" i="1"/>
  <c r="DY24" i="1"/>
  <c r="DK24" i="1"/>
  <c r="AI24" i="1"/>
  <c r="G24" i="1"/>
  <c r="FZ24" i="1" s="1"/>
  <c r="FX23" i="1"/>
  <c r="FN23" i="1"/>
  <c r="FG23" i="1"/>
  <c r="DY23" i="1"/>
  <c r="DK23" i="1"/>
  <c r="AI23" i="1"/>
  <c r="G23" i="1"/>
  <c r="FZ23" i="1" s="1"/>
  <c r="FX22" i="1"/>
  <c r="FN22" i="1"/>
  <c r="FG22" i="1"/>
  <c r="DY22" i="1"/>
  <c r="DK22" i="1"/>
  <c r="AI22" i="1"/>
  <c r="G22" i="1"/>
  <c r="I22" i="1" s="1"/>
  <c r="FX21" i="1"/>
  <c r="FN21" i="1"/>
  <c r="FG21" i="1"/>
  <c r="DY21" i="1"/>
  <c r="DK21" i="1"/>
  <c r="AI21" i="1"/>
  <c r="G21" i="1"/>
  <c r="FZ21" i="1" s="1"/>
  <c r="FX20" i="1"/>
  <c r="FN20" i="1"/>
  <c r="FG20" i="1"/>
  <c r="DY20" i="1"/>
  <c r="DK20" i="1"/>
  <c r="AI20" i="1"/>
  <c r="G20" i="1"/>
  <c r="I20" i="1" s="1"/>
  <c r="FX19" i="1"/>
  <c r="FN19" i="1"/>
  <c r="FG19" i="1"/>
  <c r="DY19" i="1"/>
  <c r="DK19" i="1"/>
  <c r="AI19" i="1"/>
  <c r="G19" i="1"/>
  <c r="FZ19" i="1" s="1"/>
  <c r="FX18" i="1"/>
  <c r="FN18" i="1"/>
  <c r="FG18" i="1"/>
  <c r="DY18" i="1"/>
  <c r="DK18" i="1"/>
  <c r="AI18" i="1"/>
  <c r="G18" i="1"/>
  <c r="FZ18" i="1" s="1"/>
  <c r="FX17" i="1"/>
  <c r="FN17" i="1"/>
  <c r="FG17" i="1"/>
  <c r="DY17" i="1"/>
  <c r="DK17" i="1"/>
  <c r="AI17" i="1"/>
  <c r="G17" i="1"/>
  <c r="FZ17" i="1" s="1"/>
  <c r="FX16" i="1"/>
  <c r="FN16" i="1"/>
  <c r="FG16" i="1"/>
  <c r="DY16" i="1"/>
  <c r="DK16" i="1"/>
  <c r="AI16" i="1"/>
  <c r="G16" i="1"/>
  <c r="FZ16" i="1" s="1"/>
  <c r="FX15" i="1"/>
  <c r="FN15" i="1"/>
  <c r="FG15" i="1"/>
  <c r="DY15" i="1"/>
  <c r="DK15" i="1"/>
  <c r="AI15" i="1"/>
  <c r="G15" i="1"/>
  <c r="I15" i="1" s="1"/>
  <c r="FX14" i="1"/>
  <c r="FN14" i="1"/>
  <c r="FG14" i="1"/>
  <c r="DY14" i="1"/>
  <c r="DK14" i="1"/>
  <c r="AI14" i="1"/>
  <c r="G14" i="1"/>
  <c r="FZ14" i="1" s="1"/>
  <c r="FX13" i="1"/>
  <c r="FN13" i="1"/>
  <c r="FG13" i="1"/>
  <c r="DY13" i="1"/>
  <c r="DK13" i="1"/>
  <c r="AI13" i="1"/>
  <c r="G13" i="1"/>
  <c r="FZ13" i="1" s="1"/>
  <c r="FX12" i="1"/>
  <c r="FN12" i="1"/>
  <c r="FG12" i="1"/>
  <c r="DY12" i="1"/>
  <c r="DK12" i="1"/>
  <c r="AI12" i="1"/>
  <c r="G12" i="1"/>
  <c r="FZ12" i="1" s="1"/>
  <c r="FX11" i="1"/>
  <c r="FN11" i="1"/>
  <c r="FG11" i="1"/>
  <c r="DY11" i="1"/>
  <c r="DK11" i="1"/>
  <c r="AI11" i="1"/>
  <c r="G11" i="1"/>
  <c r="I11" i="1" s="1"/>
  <c r="FX10" i="1"/>
  <c r="FN10" i="1"/>
  <c r="FG10" i="1"/>
  <c r="DY10" i="1"/>
  <c r="DK10" i="1"/>
  <c r="AI10" i="1"/>
  <c r="G10" i="1"/>
  <c r="FZ10" i="1" s="1"/>
  <c r="FX9" i="1"/>
  <c r="FN9" i="1"/>
  <c r="FG9" i="1"/>
  <c r="DY9" i="1"/>
  <c r="DK9" i="1"/>
  <c r="AI9" i="1"/>
  <c r="G9" i="1"/>
  <c r="I9" i="1" s="1"/>
  <c r="FX8" i="1"/>
  <c r="FN8" i="1"/>
  <c r="FG8" i="1"/>
  <c r="DY8" i="1"/>
  <c r="DK8" i="1"/>
  <c r="AI8" i="1"/>
  <c r="G8" i="1"/>
  <c r="FZ8" i="1" s="1"/>
  <c r="FX7" i="1"/>
  <c r="FN7" i="1"/>
  <c r="FG7" i="1"/>
  <c r="DY7" i="1"/>
  <c r="DK7" i="1"/>
  <c r="AI7" i="1"/>
  <c r="G7" i="1"/>
  <c r="FZ7" i="1" s="1"/>
  <c r="FX6" i="1"/>
  <c r="FN6" i="1"/>
  <c r="FG6" i="1"/>
  <c r="DY6" i="1"/>
  <c r="DK6" i="1"/>
  <c r="AI6" i="1"/>
  <c r="G6" i="1"/>
  <c r="I6" i="1" s="1"/>
  <c r="FX5" i="1"/>
  <c r="FN5" i="1"/>
  <c r="FG5" i="1"/>
  <c r="DY5" i="1"/>
  <c r="DK5" i="1"/>
  <c r="AI5" i="1"/>
  <c r="G5" i="1"/>
  <c r="I5" i="1" s="1"/>
  <c r="FX4" i="1"/>
  <c r="FN4" i="1"/>
  <c r="FG4" i="1"/>
  <c r="DY4" i="1"/>
  <c r="DK4" i="1"/>
  <c r="AI4" i="1"/>
  <c r="G4" i="1"/>
  <c r="I4" i="1" s="1"/>
  <c r="FX3" i="1"/>
  <c r="FN3" i="1"/>
  <c r="FG3" i="1"/>
  <c r="DY3" i="1"/>
  <c r="DK3" i="1"/>
  <c r="AI3" i="1"/>
  <c r="G3" i="1"/>
  <c r="FZ3" i="1" s="1"/>
  <c r="FX2" i="1"/>
  <c r="FN2" i="1"/>
  <c r="FG2" i="1"/>
  <c r="DK2" i="1"/>
  <c r="AI2" i="1"/>
  <c r="G2" i="1"/>
  <c r="I2" i="1" s="1"/>
  <c r="CU2" i="1" l="1"/>
  <c r="CU92" i="1"/>
  <c r="CU88" i="1"/>
  <c r="CU84" i="1"/>
  <c r="CU76" i="1"/>
  <c r="CU68" i="1"/>
  <c r="CU60" i="1"/>
  <c r="CU52" i="1"/>
  <c r="CU44" i="1"/>
  <c r="CU36" i="1"/>
  <c r="CU32" i="1"/>
  <c r="CU28" i="1"/>
  <c r="CU24" i="1"/>
  <c r="CU16" i="1"/>
  <c r="CU93" i="1"/>
  <c r="CU89" i="1"/>
  <c r="CU85" i="1"/>
  <c r="CU81" i="1"/>
  <c r="CU77" i="1"/>
  <c r="CU73" i="1"/>
  <c r="CU69" i="1"/>
  <c r="CU65" i="1"/>
  <c r="CU61" i="1"/>
  <c r="CU57" i="1"/>
  <c r="CU53" i="1"/>
  <c r="CU49" i="1"/>
  <c r="CU41" i="1"/>
  <c r="CU37" i="1"/>
  <c r="CU33" i="1"/>
  <c r="CU29" i="1"/>
  <c r="CU25" i="1"/>
  <c r="CU21" i="1"/>
  <c r="CU17" i="1"/>
  <c r="CU13" i="1"/>
  <c r="CU9" i="1"/>
  <c r="CU95" i="1"/>
  <c r="CU91" i="1"/>
  <c r="CU87" i="1"/>
  <c r="CU83" i="1"/>
  <c r="CU79" i="1"/>
  <c r="CU75" i="1"/>
  <c r="CU71" i="1"/>
  <c r="CU67" i="1"/>
  <c r="CU63" i="1"/>
  <c r="CU59" i="1"/>
  <c r="CU55" i="1"/>
  <c r="CU51" i="1"/>
  <c r="CU47" i="1"/>
  <c r="CU45" i="1"/>
  <c r="CU43" i="1"/>
  <c r="CU39" i="1"/>
  <c r="CU35" i="1"/>
  <c r="CU31" i="1"/>
  <c r="CU27" i="1"/>
  <c r="CU23" i="1"/>
  <c r="CU19" i="1"/>
  <c r="CU15" i="1"/>
  <c r="CU11" i="1"/>
  <c r="CU7" i="1"/>
  <c r="CU5" i="1"/>
  <c r="CU3" i="1"/>
  <c r="CU94" i="1"/>
  <c r="CU90" i="1"/>
  <c r="CU86" i="1"/>
  <c r="CU82" i="1"/>
  <c r="CU78" i="1"/>
  <c r="CU74" i="1"/>
  <c r="CU70" i="1"/>
  <c r="CU66" i="1"/>
  <c r="CU62" i="1"/>
  <c r="CU58" i="1"/>
  <c r="CU54" i="1"/>
  <c r="CU50" i="1"/>
  <c r="CU46" i="1"/>
  <c r="CU42" i="1"/>
  <c r="CU38" i="1"/>
  <c r="CU34" i="1"/>
  <c r="CU30" i="1"/>
  <c r="CU26" i="1"/>
  <c r="CU22" i="1"/>
  <c r="CU18" i="1"/>
  <c r="CU14" i="1"/>
  <c r="CU10" i="1"/>
  <c r="CU6" i="1"/>
  <c r="CU80" i="1"/>
  <c r="CU72" i="1"/>
  <c r="CU64" i="1"/>
  <c r="CU56" i="1"/>
  <c r="CU48" i="1"/>
  <c r="CU40" i="1"/>
  <c r="CU20" i="1"/>
  <c r="CU12" i="1"/>
  <c r="CU8" i="1"/>
  <c r="CU4" i="1"/>
  <c r="I74" i="1"/>
  <c r="I85" i="1"/>
  <c r="I58" i="1"/>
  <c r="FZ4" i="1"/>
  <c r="FZ90" i="1"/>
  <c r="FZ20" i="1"/>
  <c r="FZ62" i="1"/>
  <c r="FZ78" i="1"/>
  <c r="FZ15" i="1"/>
  <c r="FZ5" i="1"/>
  <c r="I16" i="1"/>
  <c r="I94" i="1"/>
  <c r="FZ9" i="1"/>
  <c r="I25" i="1"/>
  <c r="I86" i="1"/>
  <c r="FZ11" i="1"/>
  <c r="I27" i="1"/>
  <c r="FZ66" i="1"/>
  <c r="I21" i="1"/>
  <c r="I81" i="1"/>
  <c r="I7" i="1"/>
  <c r="I12" i="1"/>
  <c r="I17" i="1"/>
  <c r="I23" i="1"/>
  <c r="I28" i="1"/>
  <c r="I70" i="1"/>
  <c r="I82" i="1"/>
  <c r="I3" i="1"/>
  <c r="I8" i="1"/>
  <c r="I13" i="1"/>
  <c r="I19" i="1"/>
  <c r="I24" i="1"/>
  <c r="I29" i="1"/>
  <c r="FZ2" i="1"/>
  <c r="FZ6" i="1"/>
  <c r="I10" i="1"/>
  <c r="I14" i="1"/>
  <c r="I18" i="1"/>
  <c r="FZ22" i="1"/>
  <c r="I26" i="1"/>
  <c r="I31" i="1"/>
  <c r="I35" i="1"/>
  <c r="I39" i="1"/>
  <c r="I43" i="1"/>
  <c r="I47" i="1"/>
  <c r="I51" i="1"/>
  <c r="I55" i="1"/>
  <c r="I59" i="1"/>
  <c r="I63" i="1"/>
  <c r="I67" i="1"/>
  <c r="I71" i="1"/>
  <c r="I75" i="1"/>
  <c r="I79" i="1"/>
  <c r="I83" i="1"/>
  <c r="I88" i="1"/>
  <c r="I92" i="1"/>
  <c r="I32" i="1"/>
  <c r="I36" i="1"/>
  <c r="I40" i="1"/>
  <c r="I44" i="1"/>
  <c r="I48" i="1"/>
  <c r="I52" i="1"/>
  <c r="I56" i="1"/>
  <c r="I60" i="1"/>
  <c r="I64" i="1"/>
  <c r="I68" i="1"/>
  <c r="I72" i="1"/>
  <c r="I76" i="1"/>
  <c r="I80" i="1"/>
  <c r="I84" i="1"/>
  <c r="I89" i="1"/>
  <c r="I93" i="1"/>
  <c r="I33" i="1"/>
  <c r="I37" i="1"/>
  <c r="I41" i="1"/>
  <c r="I45" i="1"/>
  <c r="I49" i="1"/>
  <c r="I53" i="1"/>
  <c r="I57" i="1"/>
  <c r="I61" i="1"/>
  <c r="I65" i="1"/>
  <c r="I69" i="1"/>
  <c r="I73" i="1"/>
  <c r="I77" i="1"/>
  <c r="I30" i="1"/>
  <c r="I34" i="1"/>
  <c r="I38" i="1"/>
  <c r="I42" i="1"/>
  <c r="I46" i="1"/>
  <c r="I50" i="1"/>
  <c r="I54" i="1"/>
  <c r="I87" i="1"/>
  <c r="I91" i="1"/>
  <c r="I95" i="1"/>
</calcChain>
</file>

<file path=xl/sharedStrings.xml><?xml version="1.0" encoding="utf-8"?>
<sst xmlns="http://schemas.openxmlformats.org/spreadsheetml/2006/main" count="425" uniqueCount="290">
  <si>
    <t>subj</t>
  </si>
  <si>
    <t>include</t>
  </si>
  <si>
    <t>site</t>
  </si>
  <si>
    <t>gender</t>
  </si>
  <si>
    <t>birthdate</t>
  </si>
  <si>
    <t>test_date</t>
  </si>
  <si>
    <t>age</t>
  </si>
  <si>
    <t>age_at_diagnosis</t>
  </si>
  <si>
    <t>duration</t>
  </si>
  <si>
    <t>nationality</t>
  </si>
  <si>
    <t>marital_status</t>
  </si>
  <si>
    <t>religion_belief_worldview</t>
  </si>
  <si>
    <t>Housing_situation</t>
  </si>
  <si>
    <t>Cohabitation</t>
  </si>
  <si>
    <t>Nursing_support</t>
  </si>
  <si>
    <t>Residential_location</t>
  </si>
  <si>
    <t>School_graduation</t>
  </si>
  <si>
    <t>Professional_education</t>
  </si>
  <si>
    <t>Advance_directive</t>
  </si>
  <si>
    <t>Power_of_attorney</t>
  </si>
  <si>
    <t>other_document</t>
  </si>
  <si>
    <t>palliative_care_knowledge</t>
  </si>
  <si>
    <t>hospice_knowledge</t>
  </si>
  <si>
    <t>thoughts_about_end_of_life_wishes</t>
  </si>
  <si>
    <t>Sharing_of_thoughts</t>
  </si>
  <si>
    <t>Thoughts_dicussed_with</t>
  </si>
  <si>
    <t>asked_about_end_of_life_wishes</t>
  </si>
  <si>
    <t>asked_by_whom</t>
  </si>
  <si>
    <t>prefered_place_of_care</t>
  </si>
  <si>
    <t>prefered_place_of_death</t>
  </si>
  <si>
    <t>POD_familiy_friends</t>
  </si>
  <si>
    <t>POD_GP</t>
  </si>
  <si>
    <t>POD_neurologist</t>
  </si>
  <si>
    <t>POD_AD</t>
  </si>
  <si>
    <t>LEDD</t>
  </si>
  <si>
    <t>Levodopa/Carbidopa</t>
  </si>
  <si>
    <t>Levodopa/Carbidopa CR</t>
  </si>
  <si>
    <t>Entacapone</t>
  </si>
  <si>
    <t>Tolcapone</t>
  </si>
  <si>
    <t>Pramipexole</t>
  </si>
  <si>
    <t>Ropinirole</t>
  </si>
  <si>
    <t>Rotigotine</t>
  </si>
  <si>
    <t>Selegiline, oral</t>
  </si>
  <si>
    <t>Selegiline, sublingual</t>
  </si>
  <si>
    <t>Rasagiline</t>
  </si>
  <si>
    <t>Amantadine</t>
  </si>
  <si>
    <t>Apomorphine</t>
  </si>
  <si>
    <t>Piribedil</t>
  </si>
  <si>
    <t>Safinamid</t>
  </si>
  <si>
    <t>Opicapon</t>
  </si>
  <si>
    <t>Hoehn_Yahr</t>
  </si>
  <si>
    <t>PDQ_1</t>
  </si>
  <si>
    <t>PDQ_2</t>
  </si>
  <si>
    <t>PDQ_3</t>
  </si>
  <si>
    <t>PDQ_4</t>
  </si>
  <si>
    <t>PDQ_5</t>
  </si>
  <si>
    <t>PDQ_6</t>
  </si>
  <si>
    <t>PDQ_7</t>
  </si>
  <si>
    <t>PDQ_8</t>
  </si>
  <si>
    <t>PDQ_9</t>
  </si>
  <si>
    <t>PDQ_10</t>
  </si>
  <si>
    <t>PDQ_11</t>
  </si>
  <si>
    <t>PDQ_12</t>
  </si>
  <si>
    <t>PDQ_13</t>
  </si>
  <si>
    <t>PDQ_14</t>
  </si>
  <si>
    <t>PDQ_15</t>
  </si>
  <si>
    <t>PDQ_16</t>
  </si>
  <si>
    <t>PDQ_17</t>
  </si>
  <si>
    <t>PDQ_18</t>
  </si>
  <si>
    <t>PDQ_19</t>
  </si>
  <si>
    <t>PDQ_20</t>
  </si>
  <si>
    <t>PDQ_21</t>
  </si>
  <si>
    <t>PDQ_22</t>
  </si>
  <si>
    <t>PDQ_23</t>
  </si>
  <si>
    <t>PDQ_24</t>
  </si>
  <si>
    <t>PDQ_25</t>
  </si>
  <si>
    <t>PDQ_26</t>
  </si>
  <si>
    <t>PDQ_27</t>
  </si>
  <si>
    <t>PDQ_28</t>
  </si>
  <si>
    <t>PDQ_29</t>
  </si>
  <si>
    <t>PDQ_30</t>
  </si>
  <si>
    <t>PDQ_31</t>
  </si>
  <si>
    <t>PDQ_32</t>
  </si>
  <si>
    <t>PDQ_33</t>
  </si>
  <si>
    <t>PDQ_34</t>
  </si>
  <si>
    <t>PDQ_35</t>
  </si>
  <si>
    <t>PDQ_36</t>
  </si>
  <si>
    <t>PDQ_37</t>
  </si>
  <si>
    <t>PDQ_38</t>
  </si>
  <si>
    <t>PDQ_39</t>
  </si>
  <si>
    <t>UPDRS_1_1</t>
  </si>
  <si>
    <t>UPDRS_1_2</t>
  </si>
  <si>
    <t>UPDRS_1_3</t>
  </si>
  <si>
    <t>UPDRS_1_4</t>
  </si>
  <si>
    <t>UPDRS_1_5</t>
  </si>
  <si>
    <t>UPDRS_1_6</t>
  </si>
  <si>
    <t>UPDRS_1a_source</t>
  </si>
  <si>
    <t>UPDRS_1_7</t>
  </si>
  <si>
    <t>UPDRS_1_8</t>
  </si>
  <si>
    <t>UPDRS_1_9</t>
  </si>
  <si>
    <t>UPDRS_1_10</t>
  </si>
  <si>
    <t>UPDRS_1_11</t>
  </si>
  <si>
    <t>UPDRS_1_12</t>
  </si>
  <si>
    <t>UPDRS_1_13</t>
  </si>
  <si>
    <t>UPDRS_1b_source</t>
  </si>
  <si>
    <t>updrs_I</t>
  </si>
  <si>
    <t>UPDRS_2_1</t>
  </si>
  <si>
    <t>UPDRS_2_2</t>
  </si>
  <si>
    <t>UPDRS_2_3</t>
  </si>
  <si>
    <t>UPDRS_2_4</t>
  </si>
  <si>
    <t>UPDRS_2_5</t>
  </si>
  <si>
    <t>UPDRS_2_6</t>
  </si>
  <si>
    <t>UPDRS_2_7</t>
  </si>
  <si>
    <t>UPDRS_2_8</t>
  </si>
  <si>
    <t>UPDRS_2_9</t>
  </si>
  <si>
    <t>UPDRS_2_10</t>
  </si>
  <si>
    <t>UPDRS_2_11</t>
  </si>
  <si>
    <t>UPDRS_2_12</t>
  </si>
  <si>
    <t>UPDRS_2_13</t>
  </si>
  <si>
    <t>updrs_II</t>
  </si>
  <si>
    <t>UPDRS_3_1</t>
  </si>
  <si>
    <t>UPDRS_3_2</t>
  </si>
  <si>
    <t>UPDRS_3_3_Nacken</t>
  </si>
  <si>
    <t>UPDRS_3_3_ROE</t>
  </si>
  <si>
    <t>UPDRS_3_3_LOE</t>
  </si>
  <si>
    <t>UPDRS_3_3_RUE</t>
  </si>
  <si>
    <t>UPDRS_3_3_LUE</t>
  </si>
  <si>
    <t>UPDRS_3_4_R</t>
  </si>
  <si>
    <t>UPDRS_3_4_L</t>
  </si>
  <si>
    <t>UPDRS_3_5_R</t>
  </si>
  <si>
    <t>UPDRS_3_5_L</t>
  </si>
  <si>
    <t>UPDRS_3_6_R</t>
  </si>
  <si>
    <t>UPDRS_3_6_L</t>
  </si>
  <si>
    <t>UPDRS_3_7_R</t>
  </si>
  <si>
    <t>UPDRS_3_7_L</t>
  </si>
  <si>
    <t>UPDRS_3_8_R</t>
  </si>
  <si>
    <t>UPDRS_3_8_L</t>
  </si>
  <si>
    <t>UPDRS_3_9</t>
  </si>
  <si>
    <t>UPDRS_3_10</t>
  </si>
  <si>
    <t>UPDRS_3_11</t>
  </si>
  <si>
    <t>UPDRS_3_12</t>
  </si>
  <si>
    <t>UPDRS_3_13</t>
  </si>
  <si>
    <t>UPDRS_3_14</t>
  </si>
  <si>
    <t>UPDRS_3_15_R</t>
  </si>
  <si>
    <t>UPDRS_3_15_L</t>
  </si>
  <si>
    <t>UPDRS_3_16_R</t>
  </si>
  <si>
    <t>UPDRS_3_16_L</t>
  </si>
  <si>
    <t>UPDRS_3_17_ROE</t>
  </si>
  <si>
    <t>UPDRS_3_17_LOE</t>
  </si>
  <si>
    <t>UPDRS_3_17_RUE</t>
  </si>
  <si>
    <t>UPDRS_3_17_LUE</t>
  </si>
  <si>
    <t>UPDRS_3_17_lip_jaw</t>
  </si>
  <si>
    <t>UPDRS_3_18</t>
  </si>
  <si>
    <t>updrs_III</t>
  </si>
  <si>
    <t>UPDRS_4_1</t>
  </si>
  <si>
    <t>UPDRS_4_2</t>
  </si>
  <si>
    <t>UPDRS_4_3</t>
  </si>
  <si>
    <t>UPDRS_4_4</t>
  </si>
  <si>
    <t>UPDRS_4_5</t>
  </si>
  <si>
    <t>UPDRS_4_6</t>
  </si>
  <si>
    <t>updrs_IV</t>
  </si>
  <si>
    <t>bdi_score</t>
  </si>
  <si>
    <t>MOCA_VISUOSPATIAL</t>
  </si>
  <si>
    <t>MOCA_NAMING</t>
  </si>
  <si>
    <t>MOCA_Attention</t>
  </si>
  <si>
    <t>MOCA_language</t>
  </si>
  <si>
    <t>MOCA_abstraction</t>
  </si>
  <si>
    <t>MOCA_RECALL</t>
  </si>
  <si>
    <t>MOCA_Orientation</t>
  </si>
  <si>
    <t>MOCA_score</t>
  </si>
  <si>
    <t>Charlson_withoutage</t>
  </si>
  <si>
    <t>Charlson_withage</t>
  </si>
  <si>
    <t>dbs</t>
  </si>
  <si>
    <t>Unit</t>
  </si>
  <si>
    <t>none</t>
  </si>
  <si>
    <t>Agatharied</t>
  </si>
  <si>
    <t>Marburg</t>
  </si>
  <si>
    <t>female</t>
  </si>
  <si>
    <t>male</t>
  </si>
  <si>
    <t>diverse</t>
  </si>
  <si>
    <t>years</t>
  </si>
  <si>
    <t xml:space="preserve">none </t>
  </si>
  <si>
    <t>German</t>
  </si>
  <si>
    <t>Turkish</t>
  </si>
  <si>
    <t>Polish</t>
  </si>
  <si>
    <t xml:space="preserve">Syrian </t>
  </si>
  <si>
    <t>Romanian</t>
  </si>
  <si>
    <t>Italian</t>
  </si>
  <si>
    <t>Croatian</t>
  </si>
  <si>
    <t>Bulgarian</t>
  </si>
  <si>
    <t>Greek</t>
  </si>
  <si>
    <t>Afghan</t>
  </si>
  <si>
    <t>Russian</t>
  </si>
  <si>
    <t>other</t>
  </si>
  <si>
    <t>single</t>
  </si>
  <si>
    <t>married</t>
  </si>
  <si>
    <t>registered civil partnership</t>
  </si>
  <si>
    <t>divorced</t>
  </si>
  <si>
    <t>dissolved registered civil partnership</t>
  </si>
  <si>
    <t>widowed</t>
  </si>
  <si>
    <t>catholic</t>
  </si>
  <si>
    <t>protestant</t>
  </si>
  <si>
    <t>other_Christian_community</t>
  </si>
  <si>
    <t>Judaism</t>
  </si>
  <si>
    <t>Islam</t>
  </si>
  <si>
    <t>Buddhism</t>
  </si>
  <si>
    <t>Hinduism</t>
  </si>
  <si>
    <t>other_religions_belief_worldview</t>
  </si>
  <si>
    <t>no religion_belief_worldview</t>
  </si>
  <si>
    <t>in_own_household</t>
  </si>
  <si>
    <t>with_children_or_relatives</t>
  </si>
  <si>
    <t>in_assisted_living</t>
  </si>
  <si>
    <t xml:space="preserve">In_the_nursing_home_senior_residence </t>
  </si>
  <si>
    <t>persons</t>
  </si>
  <si>
    <t>no</t>
  </si>
  <si>
    <t>family_carer</t>
  </si>
  <si>
    <t>outpatient_nursing_service</t>
  </si>
  <si>
    <t>personal_carer</t>
  </si>
  <si>
    <t>city</t>
  </si>
  <si>
    <t>middle_town</t>
  </si>
  <si>
    <t>small_town</t>
  </si>
  <si>
    <t>Rural_town_rural_municipality</t>
  </si>
  <si>
    <t>Hauptschule</t>
  </si>
  <si>
    <t>Realschule</t>
  </si>
  <si>
    <t>Fachhochschulreife</t>
  </si>
  <si>
    <t>Abitur</t>
  </si>
  <si>
    <t>recognized_vocational_training</t>
  </si>
  <si>
    <t>Fachhochschule</t>
  </si>
  <si>
    <t>University</t>
  </si>
  <si>
    <t>yes</t>
  </si>
  <si>
    <t>maybe</t>
  </si>
  <si>
    <t>never</t>
  </si>
  <si>
    <t>rarely</t>
  </si>
  <si>
    <t>now and then</t>
  </si>
  <si>
    <t>frequently</t>
  </si>
  <si>
    <t>I_don't_know</t>
  </si>
  <si>
    <t>partner</t>
  </si>
  <si>
    <t>children</t>
  </si>
  <si>
    <t>GP</t>
  </si>
  <si>
    <t>neurologist</t>
  </si>
  <si>
    <t>friends</t>
  </si>
  <si>
    <t>other_family_members</t>
  </si>
  <si>
    <t>own_household</t>
  </si>
  <si>
    <t xml:space="preserve">nursing_home_senior_residence </t>
  </si>
  <si>
    <t>Hospital</t>
  </si>
  <si>
    <t>Hospice</t>
  </si>
  <si>
    <t>household_of_relatives</t>
  </si>
  <si>
    <t xml:space="preserve">other </t>
  </si>
  <si>
    <t>not_important</t>
  </si>
  <si>
    <t>palliative_care_unit</t>
  </si>
  <si>
    <t>I_dont_know</t>
  </si>
  <si>
    <t>PDQ</t>
  </si>
  <si>
    <t>occasionally</t>
  </si>
  <si>
    <t>sometimes</t>
  </si>
  <si>
    <t>often</t>
  </si>
  <si>
    <t>always_cannotdoatall</t>
  </si>
  <si>
    <t>MDS-UPDRS_Score</t>
  </si>
  <si>
    <t>normal</t>
  </si>
  <si>
    <t>slight</t>
  </si>
  <si>
    <t>mild</t>
  </si>
  <si>
    <t>moderate</t>
  </si>
  <si>
    <t>severe</t>
  </si>
  <si>
    <t>MDS-UPDRS_Source</t>
  </si>
  <si>
    <t>patient</t>
  </si>
  <si>
    <t>caregiver</t>
  </si>
  <si>
    <t>both</t>
  </si>
  <si>
    <t>BDI_II</t>
  </si>
  <si>
    <t>MOCA</t>
  </si>
  <si>
    <t>&lt;50 years</t>
  </si>
  <si>
    <t>50-59 years</t>
  </si>
  <si>
    <t>60-69 years</t>
  </si>
  <si>
    <t>70-79 years</t>
  </si>
  <si>
    <t>80-89 years</t>
  </si>
  <si>
    <t>90-99 years</t>
  </si>
  <si>
    <t>ledd</t>
  </si>
  <si>
    <t>Ongentys</t>
  </si>
  <si>
    <t>NA</t>
  </si>
  <si>
    <t>preferred_place_of_care</t>
  </si>
  <si>
    <t>preferred_place_of_death</t>
  </si>
  <si>
    <t xml:space="preserve"> Charlson_withage</t>
  </si>
  <si>
    <t>Mobility</t>
  </si>
  <si>
    <t>ADL</t>
  </si>
  <si>
    <t>EmotionalWEllbeing</t>
  </si>
  <si>
    <t>stigma</t>
  </si>
  <si>
    <t>SocialSupport</t>
  </si>
  <si>
    <t>Cognition</t>
  </si>
  <si>
    <t>Communication</t>
  </si>
  <si>
    <t>BodilyDiscomfort</t>
  </si>
  <si>
    <t>UPDRS_sum</t>
  </si>
  <si>
    <t>POD_family_friends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</si>
</sst>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textRotation="90"/>
    </xf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textRotation="90"/>
    </xf>
    <xf numFmtId="2" fontId="1" fillId="0" borderId="0" xfId="0" applyNumberFormat="1" applyFont="1" applyAlignment="1">
      <alignment textRotation="9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A297"/>
  <sheetViews>
    <sheetView tabSelected="1" workbookViewId="0">
      <pane xSplit="1" ySplit="1" topLeftCell="B72" activePane="bottomRight" state="frozen"/>
      <selection activeCell="O100" sqref="O100"/>
      <selection pane="topRight"/>
      <selection pane="bottomLeft"/>
      <selection pane="bottomRight" activeCell="AE1" sqref="AE1"/>
    </sheetView>
  </sheetViews>
  <sheetFormatPr baseColWidth="10" defaultColWidth="10.5" defaultRowHeight="16" x14ac:dyDescent="0.2"/>
  <cols>
    <col min="1" max="4" width="3.6640625" bestFit="1" customWidth="1"/>
    <col min="5" max="5" width="10.6640625" bestFit="1" customWidth="1"/>
    <col min="6" max="6" width="9.83203125" bestFit="1" customWidth="1"/>
    <col min="7" max="7" width="7.1640625" bestFit="1" customWidth="1"/>
    <col min="8" max="8" width="3.6640625" bestFit="1" customWidth="1"/>
    <col min="9" max="9" width="7.1640625" bestFit="1" customWidth="1"/>
    <col min="10" max="34" width="3.6640625" bestFit="1" customWidth="1"/>
    <col min="35" max="35" width="6.6640625" bestFit="1" customWidth="1"/>
    <col min="36" max="36" width="4.6640625" bestFit="1" customWidth="1"/>
    <col min="37" max="37" width="3.83203125" bestFit="1" customWidth="1"/>
    <col min="38" max="38" width="4.6640625" bestFit="1" customWidth="1"/>
    <col min="39" max="45" width="3.6640625" bestFit="1" customWidth="1"/>
    <col min="46" max="46" width="6.6640625" bestFit="1" customWidth="1"/>
    <col min="47" max="48" width="3.6640625" bestFit="1" customWidth="1"/>
    <col min="49" max="49" width="3.83203125" bestFit="1" customWidth="1"/>
    <col min="50" max="51" width="3.6640625" bestFit="1" customWidth="1"/>
    <col min="52" max="90" width="4.6640625" bestFit="1" customWidth="1"/>
    <col min="91" max="91" width="10.33203125" style="3" customWidth="1"/>
    <col min="92" max="92" width="15.5" style="3" customWidth="1"/>
    <col min="93" max="93" width="10.83203125" style="3" customWidth="1"/>
    <col min="94" max="94" width="7.5" style="3" customWidth="1"/>
    <col min="95" max="95" width="9.5" style="3" customWidth="1"/>
    <col min="96" max="96" width="13.83203125" style="3" customWidth="1"/>
    <col min="97" max="97" width="12.1640625" style="3" customWidth="1"/>
    <col min="98" max="98" width="9.83203125" style="3" customWidth="1"/>
    <col min="99" max="99" width="3.6640625" style="3" customWidth="1"/>
    <col min="100" max="162" width="3.6640625" bestFit="1" customWidth="1"/>
    <col min="163" max="163" width="5.83203125" bestFit="1" customWidth="1"/>
    <col min="164" max="170" width="3.6640625" bestFit="1" customWidth="1"/>
    <col min="171" max="171" width="6.33203125" customWidth="1"/>
    <col min="172" max="179" width="3.6640625" bestFit="1" customWidth="1"/>
    <col min="180" max="180" width="7.33203125" bestFit="1" customWidth="1"/>
    <col min="181" max="181" width="3.5" bestFit="1" customWidth="1"/>
    <col min="182" max="182" width="7.1640625" bestFit="1" customWidth="1"/>
    <col min="183" max="200" width="3.5" bestFit="1" customWidth="1"/>
  </cols>
  <sheetData>
    <row r="1" spans="1:183" s="1" customFormat="1" ht="18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1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277</v>
      </c>
      <c r="AD1" s="6" t="s">
        <v>278</v>
      </c>
      <c r="AE1" s="6" t="s">
        <v>289</v>
      </c>
      <c r="AF1" s="6" t="s">
        <v>31</v>
      </c>
      <c r="AG1" s="6" t="s">
        <v>32</v>
      </c>
      <c r="AH1" s="6" t="s">
        <v>33</v>
      </c>
      <c r="AI1" s="6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6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7" t="s">
        <v>280</v>
      </c>
      <c r="CN1" s="7" t="s">
        <v>281</v>
      </c>
      <c r="CO1" s="7" t="s">
        <v>282</v>
      </c>
      <c r="CP1" s="7" t="s">
        <v>283</v>
      </c>
      <c r="CQ1" s="7" t="s">
        <v>284</v>
      </c>
      <c r="CR1" s="7" t="s">
        <v>285</v>
      </c>
      <c r="CS1" s="7" t="s">
        <v>286</v>
      </c>
      <c r="CT1" s="7" t="s">
        <v>287</v>
      </c>
      <c r="CU1" s="7"/>
      <c r="CV1" s="1" t="s">
        <v>90</v>
      </c>
      <c r="CW1" s="1" t="s">
        <v>91</v>
      </c>
      <c r="CX1" s="1" t="s">
        <v>92</v>
      </c>
      <c r="CY1" s="1" t="s">
        <v>93</v>
      </c>
      <c r="CZ1" s="1" t="s">
        <v>94</v>
      </c>
      <c r="DA1" s="1" t="s">
        <v>95</v>
      </c>
      <c r="DB1" s="1" t="s">
        <v>96</v>
      </c>
      <c r="DC1" s="1" t="s">
        <v>97</v>
      </c>
      <c r="DD1" s="1" t="s">
        <v>98</v>
      </c>
      <c r="DE1" s="1" t="s">
        <v>99</v>
      </c>
      <c r="DF1" s="1" t="s">
        <v>100</v>
      </c>
      <c r="DG1" s="1" t="s">
        <v>101</v>
      </c>
      <c r="DH1" s="1" t="s">
        <v>102</v>
      </c>
      <c r="DI1" s="1" t="s">
        <v>103</v>
      </c>
      <c r="DJ1" s="1" t="s">
        <v>104</v>
      </c>
      <c r="DK1" s="1" t="s">
        <v>105</v>
      </c>
      <c r="DL1" s="1" t="s">
        <v>106</v>
      </c>
      <c r="DM1" s="1" t="s">
        <v>107</v>
      </c>
      <c r="DN1" s="1" t="s">
        <v>108</v>
      </c>
      <c r="DO1" s="1" t="s">
        <v>109</v>
      </c>
      <c r="DP1" s="1" t="s">
        <v>110</v>
      </c>
      <c r="DQ1" s="1" t="s">
        <v>111</v>
      </c>
      <c r="DR1" s="1" t="s">
        <v>112</v>
      </c>
      <c r="DS1" s="1" t="s">
        <v>113</v>
      </c>
      <c r="DT1" s="1" t="s">
        <v>114</v>
      </c>
      <c r="DU1" s="1" t="s">
        <v>115</v>
      </c>
      <c r="DV1" s="1" t="s">
        <v>116</v>
      </c>
      <c r="DW1" s="1" t="s">
        <v>117</v>
      </c>
      <c r="DX1" s="1" t="s">
        <v>118</v>
      </c>
      <c r="DY1" s="1" t="s">
        <v>119</v>
      </c>
      <c r="DZ1" s="1" t="s">
        <v>120</v>
      </c>
      <c r="EA1" s="1" t="s">
        <v>121</v>
      </c>
      <c r="EB1" s="1" t="s">
        <v>122</v>
      </c>
      <c r="EC1" s="1" t="s">
        <v>123</v>
      </c>
      <c r="ED1" s="1" t="s">
        <v>124</v>
      </c>
      <c r="EE1" s="1" t="s">
        <v>125</v>
      </c>
      <c r="EF1" s="1" t="s">
        <v>126</v>
      </c>
      <c r="EG1" s="1" t="s">
        <v>127</v>
      </c>
      <c r="EH1" s="1" t="s">
        <v>128</v>
      </c>
      <c r="EI1" s="1" t="s">
        <v>129</v>
      </c>
      <c r="EJ1" s="1" t="s">
        <v>130</v>
      </c>
      <c r="EK1" s="1" t="s">
        <v>131</v>
      </c>
      <c r="EL1" s="1" t="s">
        <v>132</v>
      </c>
      <c r="EM1" s="1" t="s">
        <v>133</v>
      </c>
      <c r="EN1" s="1" t="s">
        <v>134</v>
      </c>
      <c r="EO1" s="1" t="s">
        <v>135</v>
      </c>
      <c r="EP1" s="1" t="s">
        <v>136</v>
      </c>
      <c r="EQ1" s="1" t="s">
        <v>137</v>
      </c>
      <c r="ER1" s="1" t="s">
        <v>138</v>
      </c>
      <c r="ES1" s="1" t="s">
        <v>139</v>
      </c>
      <c r="ET1" s="1" t="s">
        <v>140</v>
      </c>
      <c r="EU1" s="1" t="s">
        <v>141</v>
      </c>
      <c r="EV1" s="1" t="s">
        <v>142</v>
      </c>
      <c r="EW1" s="1" t="s">
        <v>143</v>
      </c>
      <c r="EX1" s="1" t="s">
        <v>144</v>
      </c>
      <c r="EY1" s="1" t="s">
        <v>145</v>
      </c>
      <c r="EZ1" s="1" t="s">
        <v>146</v>
      </c>
      <c r="FA1" s="1" t="s">
        <v>147</v>
      </c>
      <c r="FB1" s="1" t="s">
        <v>148</v>
      </c>
      <c r="FC1" s="1" t="s">
        <v>149</v>
      </c>
      <c r="FD1" s="1" t="s">
        <v>150</v>
      </c>
      <c r="FE1" s="1" t="s">
        <v>151</v>
      </c>
      <c r="FF1" s="1" t="s">
        <v>152</v>
      </c>
      <c r="FG1" s="1" t="s">
        <v>153</v>
      </c>
      <c r="FH1" s="1" t="s">
        <v>154</v>
      </c>
      <c r="FI1" s="1" t="s">
        <v>155</v>
      </c>
      <c r="FJ1" s="1" t="s">
        <v>156</v>
      </c>
      <c r="FK1" s="1" t="s">
        <v>157</v>
      </c>
      <c r="FL1" s="1" t="s">
        <v>158</v>
      </c>
      <c r="FM1" s="1" t="s">
        <v>159</v>
      </c>
      <c r="FN1" s="1" t="s">
        <v>160</v>
      </c>
      <c r="FO1" s="1" t="s">
        <v>288</v>
      </c>
      <c r="FP1" s="6" t="s">
        <v>161</v>
      </c>
      <c r="FQ1" s="1" t="s">
        <v>162</v>
      </c>
      <c r="FR1" s="1" t="s">
        <v>163</v>
      </c>
      <c r="FS1" s="1" t="s">
        <v>164</v>
      </c>
      <c r="FT1" s="1" t="s">
        <v>165</v>
      </c>
      <c r="FU1" s="1" t="s">
        <v>166</v>
      </c>
      <c r="FV1" s="1" t="s">
        <v>167</v>
      </c>
      <c r="FW1" s="1" t="s">
        <v>168</v>
      </c>
      <c r="FX1" s="6" t="s">
        <v>169</v>
      </c>
      <c r="FY1" s="6" t="s">
        <v>170</v>
      </c>
      <c r="FZ1" s="6" t="s">
        <v>279</v>
      </c>
      <c r="GA1" s="6" t="s">
        <v>172</v>
      </c>
    </row>
    <row r="2" spans="1:183" x14ac:dyDescent="0.2">
      <c r="A2">
        <v>1</v>
      </c>
      <c r="B2">
        <v>1</v>
      </c>
      <c r="C2">
        <v>1</v>
      </c>
      <c r="D2">
        <v>0</v>
      </c>
      <c r="E2" s="2">
        <v>23843</v>
      </c>
      <c r="F2" s="2">
        <v>44347</v>
      </c>
      <c r="G2" s="3">
        <f t="shared" ref="G2:G65" si="0">DATEDIF(E2,F2,"M")/12</f>
        <v>56.083333333333336</v>
      </c>
      <c r="H2">
        <v>53</v>
      </c>
      <c r="I2" s="3">
        <f t="shared" ref="I2:I65" si="1">G2-H2</f>
        <v>3.0833333333333357</v>
      </c>
      <c r="J2">
        <v>0</v>
      </c>
      <c r="K2">
        <v>3</v>
      </c>
      <c r="L2">
        <v>1</v>
      </c>
      <c r="M2">
        <v>0</v>
      </c>
      <c r="N2">
        <v>2</v>
      </c>
      <c r="O2">
        <v>0</v>
      </c>
      <c r="P2">
        <v>2</v>
      </c>
      <c r="Q2">
        <v>2</v>
      </c>
      <c r="R2">
        <v>1</v>
      </c>
      <c r="S2">
        <v>1</v>
      </c>
      <c r="T2">
        <v>1</v>
      </c>
      <c r="U2">
        <v>0</v>
      </c>
      <c r="V2">
        <v>1</v>
      </c>
      <c r="W2">
        <v>1</v>
      </c>
      <c r="X2">
        <v>2</v>
      </c>
      <c r="Y2">
        <v>3</v>
      </c>
      <c r="Z2">
        <v>1</v>
      </c>
      <c r="AA2">
        <v>3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f>AJ2*ledd!$B$2+AK2*ledd!$B$3+AL2*ledd!$B$4+AM2*ledd!$B$5+AN2*ledd!$B$6+AO2*ledd!$B$7+AP2*ledd!$B$8+AQ2*ledd!$B$9+AR2*ledd!$B$10+AS2*ledd!$B$11+AT2*ledd!$B$12+AU2*ledd!$B$13+AV2*ledd!$B$14+AW2*ledd!$B$15+AX2*ledd!$B$16</f>
        <v>665</v>
      </c>
      <c r="AJ2">
        <v>100</v>
      </c>
      <c r="AK2">
        <v>300</v>
      </c>
      <c r="AL2">
        <v>0</v>
      </c>
      <c r="AM2">
        <v>0</v>
      </c>
      <c r="AN2">
        <v>0</v>
      </c>
      <c r="AO2">
        <v>0</v>
      </c>
      <c r="AP2">
        <v>8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4</v>
      </c>
      <c r="AZ2" s="3">
        <v>2</v>
      </c>
      <c r="BA2" s="3">
        <v>1</v>
      </c>
      <c r="BB2" s="3">
        <v>1</v>
      </c>
      <c r="BC2" s="3">
        <v>3</v>
      </c>
      <c r="BD2" s="3">
        <v>1</v>
      </c>
      <c r="BE2" s="3">
        <v>1</v>
      </c>
      <c r="BF2" s="3">
        <v>2</v>
      </c>
      <c r="BG2" s="3">
        <v>2</v>
      </c>
      <c r="BH2" s="3">
        <v>2</v>
      </c>
      <c r="BI2" s="3">
        <v>2</v>
      </c>
      <c r="BJ2" s="3">
        <v>1</v>
      </c>
      <c r="BK2" s="3">
        <v>1</v>
      </c>
      <c r="BL2" s="3">
        <v>1</v>
      </c>
      <c r="BM2" s="3">
        <v>2</v>
      </c>
      <c r="BN2" s="3">
        <v>1</v>
      </c>
      <c r="BO2" s="3">
        <v>1</v>
      </c>
      <c r="BP2" s="3">
        <v>2</v>
      </c>
      <c r="BQ2" s="3">
        <v>3</v>
      </c>
      <c r="BR2" s="3">
        <v>2</v>
      </c>
      <c r="BS2" s="3">
        <v>3</v>
      </c>
      <c r="BT2" s="3">
        <v>2</v>
      </c>
      <c r="BU2" s="3">
        <v>1</v>
      </c>
      <c r="BV2" s="3">
        <v>1</v>
      </c>
      <c r="BW2" s="3">
        <v>1</v>
      </c>
      <c r="BX2" s="3">
        <v>1</v>
      </c>
      <c r="BY2" s="3">
        <v>1</v>
      </c>
      <c r="BZ2" s="3">
        <v>2</v>
      </c>
      <c r="CA2" s="3">
        <v>1</v>
      </c>
      <c r="CB2" s="3">
        <v>1</v>
      </c>
      <c r="CC2" s="3">
        <v>1</v>
      </c>
      <c r="CD2" s="3">
        <v>1</v>
      </c>
      <c r="CE2" s="3">
        <v>1</v>
      </c>
      <c r="CF2" s="3">
        <v>1</v>
      </c>
      <c r="CG2" s="3">
        <v>3</v>
      </c>
      <c r="CH2" s="3">
        <v>3</v>
      </c>
      <c r="CI2" s="3">
        <v>1</v>
      </c>
      <c r="CJ2" s="3">
        <v>1</v>
      </c>
      <c r="CK2" s="3">
        <v>2</v>
      </c>
      <c r="CL2" s="3">
        <v>1</v>
      </c>
      <c r="CM2" s="3">
        <f>(SUM(AZ2:BI2)*100/40)</f>
        <v>42.5</v>
      </c>
      <c r="CN2" s="3">
        <f>SUM(BJ2:BO2)*100/24</f>
        <v>29.166666666666668</v>
      </c>
      <c r="CO2" s="3">
        <f>SUM(BP2:BU2)*100/24</f>
        <v>54.166666666666664</v>
      </c>
      <c r="CP2" s="3">
        <f>SUM(BV2:BY2)*100/16</f>
        <v>25</v>
      </c>
      <c r="CQ2" s="3">
        <f>SUM(BZ2:CB2)*100/12</f>
        <v>33.333333333333336</v>
      </c>
      <c r="CR2" s="3">
        <f>SUM(CC2:CF2)*100/16</f>
        <v>25</v>
      </c>
      <c r="CS2">
        <f>SUM(CG2:CI2)*100/12</f>
        <v>58.333333333333336</v>
      </c>
      <c r="CT2">
        <f>SUM(CJ2:CL2)*100/12</f>
        <v>33.333333333333336</v>
      </c>
      <c r="CU2">
        <f>SUM(CM2:CT2)/8</f>
        <v>37.604166666666664</v>
      </c>
      <c r="CV2">
        <v>0</v>
      </c>
      <c r="CW2">
        <v>0</v>
      </c>
      <c r="CX2">
        <v>3</v>
      </c>
      <c r="CY2">
        <v>1</v>
      </c>
      <c r="CZ2">
        <v>0</v>
      </c>
      <c r="DA2">
        <v>0</v>
      </c>
      <c r="DB2">
        <v>0</v>
      </c>
      <c r="DC2">
        <v>0</v>
      </c>
      <c r="DD2">
        <v>0</v>
      </c>
      <c r="DE2">
        <v>1</v>
      </c>
      <c r="DF2">
        <v>0</v>
      </c>
      <c r="DG2">
        <v>0</v>
      </c>
      <c r="DH2">
        <v>3</v>
      </c>
      <c r="DI2">
        <v>0</v>
      </c>
      <c r="DJ2">
        <v>0</v>
      </c>
      <c r="DK2">
        <f t="shared" ref="DK2:DK65" si="2">SUM(CV2:DA2,DC2:DI2)</f>
        <v>8</v>
      </c>
      <c r="DL2">
        <v>0</v>
      </c>
      <c r="DM2">
        <v>2</v>
      </c>
      <c r="DN2">
        <v>2</v>
      </c>
      <c r="DO2">
        <v>0</v>
      </c>
      <c r="DP2">
        <v>1</v>
      </c>
      <c r="DQ2">
        <v>0</v>
      </c>
      <c r="DR2">
        <v>1</v>
      </c>
      <c r="DS2">
        <v>4</v>
      </c>
      <c r="DT2">
        <v>4</v>
      </c>
      <c r="DU2">
        <v>3</v>
      </c>
      <c r="DV2">
        <v>0</v>
      </c>
      <c r="DW2">
        <v>4</v>
      </c>
      <c r="DX2">
        <v>0</v>
      </c>
      <c r="DY2">
        <v>21</v>
      </c>
      <c r="DZ2">
        <v>1</v>
      </c>
      <c r="EA2">
        <v>1</v>
      </c>
      <c r="EB2">
        <v>0</v>
      </c>
      <c r="EC2">
        <v>0</v>
      </c>
      <c r="ED2">
        <v>0</v>
      </c>
      <c r="EE2">
        <v>1</v>
      </c>
      <c r="EF2">
        <v>1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2</v>
      </c>
      <c r="EN2">
        <v>2</v>
      </c>
      <c r="EO2">
        <v>0</v>
      </c>
      <c r="EP2">
        <v>0</v>
      </c>
      <c r="EQ2">
        <v>0</v>
      </c>
      <c r="ER2">
        <v>3</v>
      </c>
      <c r="ES2">
        <v>3</v>
      </c>
      <c r="ET2">
        <v>3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f t="shared" ref="FG2:FG65" si="3">SUM(DZ2:FF2)</f>
        <v>17</v>
      </c>
      <c r="FH2">
        <v>0</v>
      </c>
      <c r="FI2">
        <v>0</v>
      </c>
      <c r="FJ2">
        <v>0</v>
      </c>
      <c r="FK2">
        <v>1</v>
      </c>
      <c r="FL2">
        <v>0</v>
      </c>
      <c r="FM2">
        <v>0</v>
      </c>
      <c r="FN2">
        <f t="shared" ref="FN2:FN65" si="4">SUM(FH2:FM2)</f>
        <v>1</v>
      </c>
      <c r="FO2">
        <f>SUM(DK2,DY2,FG2,FN2)</f>
        <v>47</v>
      </c>
      <c r="FP2">
        <v>5</v>
      </c>
      <c r="FQ2">
        <v>5</v>
      </c>
      <c r="FR2">
        <v>3</v>
      </c>
      <c r="FS2">
        <v>6</v>
      </c>
      <c r="FT2">
        <v>3</v>
      </c>
      <c r="FU2">
        <v>2</v>
      </c>
      <c r="FV2">
        <v>4</v>
      </c>
      <c r="FW2">
        <v>6</v>
      </c>
      <c r="FX2">
        <f t="shared" ref="FX2:FX9" si="5">SUM(FQ2:FW2)</f>
        <v>29</v>
      </c>
      <c r="FY2">
        <v>0</v>
      </c>
      <c r="FZ2">
        <f t="shared" ref="FZ2:FZ65" si="6">IF($G2&lt;=50,$FY2+0,IF(AND($G2&lt;60,$G2&gt;50),$FY2+1,IF(AND($G2&lt;70,$G2&gt;60),$FY2+2,IF(AND($G2&lt;80,$G2&gt;70),$FY2+3,IF(AND($G2&lt;90,$G2&gt;80),$FY2+4,IF($G2&gt;=90,$FY2+5,""))))))</f>
        <v>1</v>
      </c>
      <c r="GA2">
        <v>1</v>
      </c>
    </row>
    <row r="3" spans="1:183" x14ac:dyDescent="0.2">
      <c r="A3">
        <v>2</v>
      </c>
      <c r="B3">
        <v>1</v>
      </c>
      <c r="C3">
        <v>1</v>
      </c>
      <c r="D3">
        <v>1</v>
      </c>
      <c r="E3" s="2">
        <v>21078</v>
      </c>
      <c r="F3" s="2">
        <v>44348</v>
      </c>
      <c r="G3" s="3">
        <f t="shared" si="0"/>
        <v>63.666666666666664</v>
      </c>
      <c r="H3">
        <v>50</v>
      </c>
      <c r="I3" s="3">
        <f t="shared" si="1"/>
        <v>13.666666666666664</v>
      </c>
      <c r="J3">
        <v>0</v>
      </c>
      <c r="K3">
        <v>1</v>
      </c>
      <c r="L3">
        <v>0</v>
      </c>
      <c r="M3">
        <v>0</v>
      </c>
      <c r="N3">
        <v>3</v>
      </c>
      <c r="O3">
        <v>1</v>
      </c>
      <c r="P3">
        <v>4</v>
      </c>
      <c r="Q3">
        <v>2</v>
      </c>
      <c r="R3">
        <v>1</v>
      </c>
      <c r="S3">
        <v>1</v>
      </c>
      <c r="T3">
        <v>1</v>
      </c>
      <c r="U3">
        <v>0</v>
      </c>
      <c r="V3">
        <v>1</v>
      </c>
      <c r="W3">
        <v>1</v>
      </c>
      <c r="X3">
        <v>3</v>
      </c>
      <c r="Y3">
        <v>3</v>
      </c>
      <c r="Z3">
        <v>0</v>
      </c>
      <c r="AA3">
        <v>3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f>AJ3*ledd!$B$2+AK3*ledd!$B$3+AL3*ledd!$B$4+AM3*ledd!$B$5+AN3*ledd!$B$6+AO3*ledd!$B$7+AP3*ledd!$B$8+AQ3*ledd!$B$9+AR3*ledd!$B$10+AS3*ledd!$B$11+AT3*ledd!$B$12+AU3*ledd!$B$13+AV3*ledd!$B$14+AW3*ledd!$B$15+AX3*ledd!$B$16</f>
        <v>820</v>
      </c>
      <c r="AJ3">
        <v>600</v>
      </c>
      <c r="AK3">
        <v>200</v>
      </c>
      <c r="AL3">
        <v>0</v>
      </c>
      <c r="AM3">
        <v>0</v>
      </c>
      <c r="AN3">
        <v>0.7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4</v>
      </c>
      <c r="AZ3" s="3">
        <v>1</v>
      </c>
      <c r="BA3" s="3">
        <v>2</v>
      </c>
      <c r="BB3" s="3">
        <v>2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1</v>
      </c>
      <c r="BI3" s="3">
        <v>0</v>
      </c>
      <c r="BJ3" s="3">
        <v>2</v>
      </c>
      <c r="BK3" s="3">
        <v>2</v>
      </c>
      <c r="BL3" s="3">
        <v>3</v>
      </c>
      <c r="BM3" s="3">
        <v>3</v>
      </c>
      <c r="BN3" s="3">
        <v>3</v>
      </c>
      <c r="BO3" s="3">
        <v>3</v>
      </c>
      <c r="BP3" s="3">
        <v>0</v>
      </c>
      <c r="BQ3" s="3">
        <v>0</v>
      </c>
      <c r="BR3" s="3">
        <v>1</v>
      </c>
      <c r="BS3" s="3">
        <v>2</v>
      </c>
      <c r="BT3" s="3">
        <v>0</v>
      </c>
      <c r="BU3" s="3">
        <v>3</v>
      </c>
      <c r="BV3" s="3">
        <v>1</v>
      </c>
      <c r="BW3" s="3">
        <v>2</v>
      </c>
      <c r="BX3" s="3">
        <v>0</v>
      </c>
      <c r="BY3" s="3">
        <v>2</v>
      </c>
      <c r="BZ3" s="3">
        <v>0</v>
      </c>
      <c r="CA3" s="3">
        <v>0</v>
      </c>
      <c r="CB3" s="3">
        <v>0</v>
      </c>
      <c r="CC3" s="3">
        <v>0</v>
      </c>
      <c r="CD3" s="3">
        <v>2</v>
      </c>
      <c r="CE3" s="3">
        <v>0</v>
      </c>
      <c r="CF3" s="3">
        <v>0</v>
      </c>
      <c r="CG3" s="3">
        <v>2</v>
      </c>
      <c r="CH3" s="3">
        <v>1</v>
      </c>
      <c r="CI3" s="3">
        <v>2</v>
      </c>
      <c r="CJ3" s="3">
        <v>0</v>
      </c>
      <c r="CK3" s="3">
        <v>0</v>
      </c>
      <c r="CL3" s="3">
        <v>2</v>
      </c>
      <c r="CM3" s="3">
        <f t="shared" ref="CM3:CM66" si="7">(SUM(AZ3:BI3)*100/40)</f>
        <v>15</v>
      </c>
      <c r="CN3" s="3">
        <f t="shared" ref="CN3:CN66" si="8">SUM(BJ3:BO3)*100/24</f>
        <v>66.666666666666671</v>
      </c>
      <c r="CO3" s="3">
        <f t="shared" ref="CO3:CO66" si="9">SUM(BP3:BU3)*100/24</f>
        <v>25</v>
      </c>
      <c r="CP3" s="3">
        <f t="shared" ref="CP3:CP66" si="10">SUM(BV3:BY3)*100/16</f>
        <v>31.25</v>
      </c>
      <c r="CQ3" s="3">
        <f t="shared" ref="CQ3:CQ66" si="11">SUM(BZ3:CB3)*100/12</f>
        <v>0</v>
      </c>
      <c r="CR3" s="3">
        <f t="shared" ref="CR3:CR66" si="12">SUM(CC3:CF3)*100/16</f>
        <v>12.5</v>
      </c>
      <c r="CS3">
        <f t="shared" ref="CS3:CS66" si="13">SUM(CG3:CI3)*100/12</f>
        <v>41.666666666666664</v>
      </c>
      <c r="CT3">
        <f t="shared" ref="CT3:CT66" si="14">SUM(CJ3:CL3)*100/12</f>
        <v>16.666666666666668</v>
      </c>
      <c r="CU3">
        <f t="shared" ref="CU3:CU66" si="15">SUM(CM3:CT3)/8</f>
        <v>26.09375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3</v>
      </c>
      <c r="DD3">
        <v>3</v>
      </c>
      <c r="DE3">
        <v>0</v>
      </c>
      <c r="DF3">
        <v>2</v>
      </c>
      <c r="DG3">
        <v>1</v>
      </c>
      <c r="DH3">
        <v>1</v>
      </c>
      <c r="DI3">
        <v>0</v>
      </c>
      <c r="DJ3">
        <v>0</v>
      </c>
      <c r="DK3">
        <f t="shared" si="2"/>
        <v>10</v>
      </c>
      <c r="DL3">
        <v>1</v>
      </c>
      <c r="DM3">
        <v>2</v>
      </c>
      <c r="DN3">
        <v>1</v>
      </c>
      <c r="DO3">
        <v>1</v>
      </c>
      <c r="DP3">
        <v>2</v>
      </c>
      <c r="DQ3">
        <v>2</v>
      </c>
      <c r="DR3">
        <v>3</v>
      </c>
      <c r="DS3">
        <v>1</v>
      </c>
      <c r="DT3">
        <v>2</v>
      </c>
      <c r="DU3">
        <v>3</v>
      </c>
      <c r="DV3">
        <v>1</v>
      </c>
      <c r="DW3">
        <v>2</v>
      </c>
      <c r="DX3">
        <v>2</v>
      </c>
      <c r="DY3">
        <f t="shared" ref="DY3:DY65" si="16">SUM(DL3:DX3)</f>
        <v>23</v>
      </c>
      <c r="DZ3">
        <v>2</v>
      </c>
      <c r="EA3">
        <v>3</v>
      </c>
      <c r="EB3">
        <v>2</v>
      </c>
      <c r="EC3">
        <v>2</v>
      </c>
      <c r="ED3">
        <v>3</v>
      </c>
      <c r="EE3">
        <v>2</v>
      </c>
      <c r="EF3">
        <v>2</v>
      </c>
      <c r="EG3">
        <v>2</v>
      </c>
      <c r="EH3">
        <v>3</v>
      </c>
      <c r="EI3">
        <v>2</v>
      </c>
      <c r="EJ3">
        <v>3</v>
      </c>
      <c r="EK3">
        <v>3</v>
      </c>
      <c r="EL3">
        <v>4</v>
      </c>
      <c r="EM3">
        <v>2</v>
      </c>
      <c r="EN3">
        <v>3</v>
      </c>
      <c r="EO3">
        <v>2</v>
      </c>
      <c r="EP3">
        <v>3</v>
      </c>
      <c r="EQ3">
        <v>0</v>
      </c>
      <c r="ER3">
        <v>3</v>
      </c>
      <c r="ES3">
        <v>1</v>
      </c>
      <c r="ET3">
        <v>3</v>
      </c>
      <c r="EU3">
        <v>3</v>
      </c>
      <c r="EV3">
        <v>3</v>
      </c>
      <c r="EW3">
        <v>1</v>
      </c>
      <c r="EX3">
        <v>3</v>
      </c>
      <c r="EY3">
        <v>1</v>
      </c>
      <c r="EZ3">
        <v>2</v>
      </c>
      <c r="FA3">
        <v>1</v>
      </c>
      <c r="FB3">
        <v>3</v>
      </c>
      <c r="FC3">
        <v>0</v>
      </c>
      <c r="FD3">
        <v>0</v>
      </c>
      <c r="FE3">
        <v>0</v>
      </c>
      <c r="FF3">
        <v>4</v>
      </c>
      <c r="FG3">
        <f t="shared" si="3"/>
        <v>71</v>
      </c>
      <c r="FH3">
        <v>2</v>
      </c>
      <c r="FI3">
        <v>1</v>
      </c>
      <c r="FJ3">
        <v>1</v>
      </c>
      <c r="FK3">
        <v>2</v>
      </c>
      <c r="FL3">
        <v>1</v>
      </c>
      <c r="FM3">
        <v>1</v>
      </c>
      <c r="FN3">
        <f t="shared" si="4"/>
        <v>8</v>
      </c>
      <c r="FO3">
        <f t="shared" ref="FO3:FO66" si="17">SUM(DK3,DY3,FG3,FN3)</f>
        <v>112</v>
      </c>
      <c r="FP3">
        <v>11</v>
      </c>
      <c r="FQ3">
        <v>4</v>
      </c>
      <c r="FR3">
        <v>3</v>
      </c>
      <c r="FS3">
        <v>6</v>
      </c>
      <c r="FT3">
        <v>3</v>
      </c>
      <c r="FU3">
        <v>1</v>
      </c>
      <c r="FV3">
        <v>5</v>
      </c>
      <c r="FW3">
        <v>5</v>
      </c>
      <c r="FX3">
        <f t="shared" si="5"/>
        <v>27</v>
      </c>
      <c r="FY3">
        <v>0</v>
      </c>
      <c r="FZ3">
        <f t="shared" si="6"/>
        <v>2</v>
      </c>
      <c r="GA3">
        <v>1</v>
      </c>
    </row>
    <row r="4" spans="1:183" x14ac:dyDescent="0.2">
      <c r="A4">
        <v>3</v>
      </c>
      <c r="B4">
        <v>1</v>
      </c>
      <c r="C4">
        <v>1</v>
      </c>
      <c r="D4">
        <v>1</v>
      </c>
      <c r="E4" s="2">
        <v>16345</v>
      </c>
      <c r="F4" s="2">
        <v>44348</v>
      </c>
      <c r="G4" s="3">
        <f t="shared" si="0"/>
        <v>76.666666666666671</v>
      </c>
      <c r="H4">
        <v>69</v>
      </c>
      <c r="I4" s="3">
        <f t="shared" si="1"/>
        <v>7.6666666666666714</v>
      </c>
      <c r="J4">
        <v>0</v>
      </c>
      <c r="K4">
        <v>1</v>
      </c>
      <c r="L4">
        <v>1</v>
      </c>
      <c r="M4">
        <v>0</v>
      </c>
      <c r="N4">
        <v>2</v>
      </c>
      <c r="O4">
        <v>0</v>
      </c>
      <c r="P4">
        <v>1</v>
      </c>
      <c r="Q4">
        <v>3</v>
      </c>
      <c r="R4">
        <v>1</v>
      </c>
      <c r="S4">
        <v>1</v>
      </c>
      <c r="T4">
        <v>1</v>
      </c>
      <c r="U4">
        <v>0</v>
      </c>
      <c r="V4">
        <v>1</v>
      </c>
      <c r="W4">
        <v>1</v>
      </c>
      <c r="X4">
        <v>2</v>
      </c>
      <c r="Y4">
        <v>2</v>
      </c>
      <c r="Z4">
        <v>0</v>
      </c>
      <c r="AA4">
        <v>2</v>
      </c>
      <c r="AB4">
        <v>0</v>
      </c>
      <c r="AC4">
        <v>0</v>
      </c>
      <c r="AD4">
        <v>0</v>
      </c>
      <c r="AE4">
        <v>1</v>
      </c>
      <c r="AF4">
        <v>1</v>
      </c>
      <c r="AG4">
        <v>0</v>
      </c>
      <c r="AH4">
        <v>1</v>
      </c>
      <c r="AI4">
        <f>AJ4*ledd!$B$2+AK4*ledd!$B$3+AL4*ledd!$B$4+AM4*ledd!$B$5+AN4*ledd!$B$6+AO4*ledd!$B$7+AP4*ledd!$B$8+AQ4*ledd!$B$9+AR4*ledd!$B$10+AS4*ledd!$B$11+AT4*ledd!$B$12+AU4*ledd!$B$13+AV4*ledd!$B$14+AW4*ledd!$B$15+AX4*ledd!$B$16</f>
        <v>320</v>
      </c>
      <c r="AJ4">
        <v>0</v>
      </c>
      <c r="AK4">
        <v>0</v>
      </c>
      <c r="AL4">
        <v>0</v>
      </c>
      <c r="AM4">
        <v>0</v>
      </c>
      <c r="AN4">
        <v>0</v>
      </c>
      <c r="AO4">
        <v>6</v>
      </c>
      <c r="AP4">
        <v>0</v>
      </c>
      <c r="AQ4">
        <v>0</v>
      </c>
      <c r="AR4">
        <v>0</v>
      </c>
      <c r="AS4">
        <v>1</v>
      </c>
      <c r="AT4">
        <v>100</v>
      </c>
      <c r="AU4">
        <v>0</v>
      </c>
      <c r="AV4">
        <v>0</v>
      </c>
      <c r="AW4">
        <v>0</v>
      </c>
      <c r="AX4">
        <v>0</v>
      </c>
      <c r="AY4">
        <v>4</v>
      </c>
      <c r="AZ4" s="3">
        <v>2</v>
      </c>
      <c r="BA4" s="3">
        <v>1</v>
      </c>
      <c r="BB4" s="3">
        <v>0</v>
      </c>
      <c r="BC4" s="3">
        <v>0</v>
      </c>
      <c r="BD4" s="3">
        <v>0</v>
      </c>
      <c r="BE4" s="3">
        <v>1</v>
      </c>
      <c r="BF4" s="3">
        <v>0</v>
      </c>
      <c r="BG4" s="3">
        <v>1</v>
      </c>
      <c r="BH4" s="3">
        <v>0</v>
      </c>
      <c r="BI4" s="3">
        <v>3</v>
      </c>
      <c r="BJ4" s="3">
        <v>0</v>
      </c>
      <c r="BK4" s="3">
        <v>0</v>
      </c>
      <c r="BL4" s="3">
        <v>4</v>
      </c>
      <c r="BM4" s="3">
        <v>4</v>
      </c>
      <c r="BN4" s="3">
        <v>0</v>
      </c>
      <c r="BO4" s="3">
        <v>0</v>
      </c>
      <c r="BP4" s="3">
        <v>0</v>
      </c>
      <c r="BQ4" s="3">
        <v>0</v>
      </c>
      <c r="BR4" s="3">
        <v>2</v>
      </c>
      <c r="BS4" s="3">
        <v>0</v>
      </c>
      <c r="BT4" s="3">
        <v>0</v>
      </c>
      <c r="BU4" s="3">
        <v>1</v>
      </c>
      <c r="BV4" s="3">
        <v>0</v>
      </c>
      <c r="BW4" s="3">
        <v>1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2</v>
      </c>
      <c r="CH4" s="3">
        <v>0</v>
      </c>
      <c r="CI4" s="3">
        <v>0</v>
      </c>
      <c r="CJ4" s="3">
        <v>2</v>
      </c>
      <c r="CK4" s="3">
        <v>3</v>
      </c>
      <c r="CL4" s="3">
        <v>0</v>
      </c>
      <c r="CM4" s="3">
        <f t="shared" si="7"/>
        <v>20</v>
      </c>
      <c r="CN4" s="3">
        <f t="shared" si="8"/>
        <v>33.333333333333336</v>
      </c>
      <c r="CO4" s="3">
        <f t="shared" si="9"/>
        <v>12.5</v>
      </c>
      <c r="CP4" s="3">
        <f t="shared" si="10"/>
        <v>6.25</v>
      </c>
      <c r="CQ4" s="3">
        <f t="shared" si="11"/>
        <v>0</v>
      </c>
      <c r="CR4" s="3">
        <f t="shared" si="12"/>
        <v>0</v>
      </c>
      <c r="CS4">
        <f t="shared" si="13"/>
        <v>16.666666666666668</v>
      </c>
      <c r="CT4">
        <f t="shared" si="14"/>
        <v>41.666666666666664</v>
      </c>
      <c r="CU4">
        <f t="shared" si="15"/>
        <v>16.302083333333336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2</v>
      </c>
      <c r="DF4">
        <v>0</v>
      </c>
      <c r="DG4">
        <v>2</v>
      </c>
      <c r="DH4">
        <v>0</v>
      </c>
      <c r="DI4">
        <v>0</v>
      </c>
      <c r="DJ4">
        <v>0</v>
      </c>
      <c r="DK4">
        <f t="shared" si="2"/>
        <v>4</v>
      </c>
      <c r="DL4">
        <v>1</v>
      </c>
      <c r="DM4">
        <v>1</v>
      </c>
      <c r="DN4">
        <v>0</v>
      </c>
      <c r="DO4">
        <v>0</v>
      </c>
      <c r="DP4">
        <v>2</v>
      </c>
      <c r="DQ4">
        <v>0</v>
      </c>
      <c r="DR4">
        <v>3</v>
      </c>
      <c r="DS4">
        <v>3</v>
      </c>
      <c r="DT4">
        <v>1</v>
      </c>
      <c r="DU4">
        <v>0</v>
      </c>
      <c r="DV4">
        <v>0</v>
      </c>
      <c r="DW4">
        <v>2</v>
      </c>
      <c r="DX4">
        <v>3</v>
      </c>
      <c r="DY4">
        <f t="shared" si="16"/>
        <v>16</v>
      </c>
      <c r="DZ4">
        <v>1</v>
      </c>
      <c r="EA4">
        <v>2</v>
      </c>
      <c r="EB4">
        <v>4</v>
      </c>
      <c r="EC4">
        <v>2</v>
      </c>
      <c r="ED4">
        <v>2</v>
      </c>
      <c r="EE4">
        <v>2</v>
      </c>
      <c r="EF4">
        <v>2</v>
      </c>
      <c r="EG4">
        <v>3</v>
      </c>
      <c r="EH4">
        <v>3</v>
      </c>
      <c r="EI4">
        <v>3</v>
      </c>
      <c r="EJ4">
        <v>3</v>
      </c>
      <c r="EK4">
        <v>3</v>
      </c>
      <c r="EL4">
        <v>4</v>
      </c>
      <c r="EM4">
        <v>3</v>
      </c>
      <c r="EN4">
        <v>3</v>
      </c>
      <c r="EO4">
        <v>3</v>
      </c>
      <c r="EP4">
        <v>3</v>
      </c>
      <c r="EQ4">
        <v>2</v>
      </c>
      <c r="ER4">
        <v>2</v>
      </c>
      <c r="ES4">
        <v>1</v>
      </c>
      <c r="ET4">
        <v>2</v>
      </c>
      <c r="EU4">
        <v>4</v>
      </c>
      <c r="EV4">
        <v>3</v>
      </c>
      <c r="EW4">
        <v>1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f t="shared" si="3"/>
        <v>61</v>
      </c>
      <c r="FH4">
        <v>0</v>
      </c>
      <c r="FI4">
        <v>0</v>
      </c>
      <c r="FJ4">
        <v>2</v>
      </c>
      <c r="FK4">
        <v>2</v>
      </c>
      <c r="FL4">
        <v>1</v>
      </c>
      <c r="FM4">
        <v>1</v>
      </c>
      <c r="FN4">
        <f t="shared" si="4"/>
        <v>6</v>
      </c>
      <c r="FO4">
        <f t="shared" si="17"/>
        <v>87</v>
      </c>
      <c r="FP4">
        <v>9</v>
      </c>
      <c r="FQ4">
        <v>5</v>
      </c>
      <c r="FR4">
        <v>3</v>
      </c>
      <c r="FS4">
        <v>6</v>
      </c>
      <c r="FT4">
        <v>1</v>
      </c>
      <c r="FU4">
        <v>2</v>
      </c>
      <c r="FV4">
        <v>1</v>
      </c>
      <c r="FW4">
        <v>5</v>
      </c>
      <c r="FX4">
        <f t="shared" si="5"/>
        <v>23</v>
      </c>
      <c r="FY4">
        <v>6</v>
      </c>
      <c r="FZ4">
        <f t="shared" si="6"/>
        <v>9</v>
      </c>
      <c r="GA4">
        <v>1</v>
      </c>
    </row>
    <row r="5" spans="1:183" x14ac:dyDescent="0.2">
      <c r="A5">
        <v>4</v>
      </c>
      <c r="B5">
        <v>1</v>
      </c>
      <c r="C5">
        <v>1</v>
      </c>
      <c r="D5">
        <v>1</v>
      </c>
      <c r="E5" s="2">
        <v>23004</v>
      </c>
      <c r="F5" s="2">
        <v>44353</v>
      </c>
      <c r="G5" s="3">
        <f t="shared" si="0"/>
        <v>58.416666666666664</v>
      </c>
      <c r="H5">
        <v>55</v>
      </c>
      <c r="I5" s="3">
        <f t="shared" si="1"/>
        <v>3.4166666666666643</v>
      </c>
      <c r="J5">
        <v>0</v>
      </c>
      <c r="K5">
        <v>1</v>
      </c>
      <c r="L5">
        <v>8</v>
      </c>
      <c r="M5">
        <v>0</v>
      </c>
      <c r="N5">
        <v>6</v>
      </c>
      <c r="O5">
        <v>0</v>
      </c>
      <c r="P5">
        <v>4</v>
      </c>
      <c r="Q5">
        <v>4</v>
      </c>
      <c r="R5">
        <v>3</v>
      </c>
      <c r="S5">
        <v>0</v>
      </c>
      <c r="T5">
        <v>0</v>
      </c>
      <c r="U5">
        <v>0</v>
      </c>
      <c r="V5">
        <v>1</v>
      </c>
      <c r="W5">
        <v>1</v>
      </c>
      <c r="X5">
        <v>0</v>
      </c>
      <c r="Y5">
        <v>0</v>
      </c>
      <c r="AA5">
        <v>0</v>
      </c>
      <c r="AC5">
        <v>6</v>
      </c>
      <c r="AD5">
        <v>6</v>
      </c>
      <c r="AE5">
        <v>0</v>
      </c>
      <c r="AF5">
        <v>0</v>
      </c>
      <c r="AG5">
        <v>0</v>
      </c>
      <c r="AH5">
        <v>0</v>
      </c>
      <c r="AI5">
        <f>AJ5*ledd!$B$2+AK5*ledd!$B$3+AL5*ledd!$B$4+AM5*ledd!$B$5+AN5*ledd!$B$6+AO5*ledd!$B$7+AP5*ledd!$B$8+AQ5*ledd!$B$9+AR5*ledd!$B$10+AS5*ledd!$B$11+AT5*ledd!$B$12+AU5*ledd!$B$13+AV5*ledd!$B$14+AW5*ledd!$B$15+AX5*ledd!$B$16</f>
        <v>450</v>
      </c>
      <c r="AJ5">
        <v>300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150</v>
      </c>
      <c r="AW5">
        <v>0</v>
      </c>
      <c r="AX5">
        <v>0</v>
      </c>
      <c r="AY5">
        <v>2</v>
      </c>
      <c r="AZ5" s="3">
        <v>3</v>
      </c>
      <c r="BA5" s="3">
        <v>0</v>
      </c>
      <c r="BB5" s="3">
        <v>0</v>
      </c>
      <c r="BC5" s="3">
        <v>4</v>
      </c>
      <c r="BD5" s="3">
        <v>3</v>
      </c>
      <c r="BE5" s="3">
        <v>0</v>
      </c>
      <c r="BF5" s="3">
        <v>3</v>
      </c>
      <c r="BG5" s="3">
        <v>0</v>
      </c>
      <c r="BH5" s="3">
        <v>0</v>
      </c>
      <c r="BI5" s="3">
        <v>3</v>
      </c>
      <c r="BJ5" s="3">
        <v>0</v>
      </c>
      <c r="BK5" s="3">
        <v>0</v>
      </c>
      <c r="BL5" s="3">
        <v>0</v>
      </c>
      <c r="BM5" s="3">
        <v>3</v>
      </c>
      <c r="BN5" s="3">
        <v>0</v>
      </c>
      <c r="BO5" s="3">
        <v>0</v>
      </c>
      <c r="BP5" s="3">
        <v>3</v>
      </c>
      <c r="BQ5" s="3">
        <v>2</v>
      </c>
      <c r="BR5" s="3">
        <v>2</v>
      </c>
      <c r="BS5" s="3">
        <v>1</v>
      </c>
      <c r="BT5" s="3">
        <v>0</v>
      </c>
      <c r="BU5" s="3">
        <v>3</v>
      </c>
      <c r="BV5" s="3">
        <v>3</v>
      </c>
      <c r="BW5" s="3">
        <v>0</v>
      </c>
      <c r="BX5" s="3">
        <v>2</v>
      </c>
      <c r="BY5" s="3">
        <v>2</v>
      </c>
      <c r="BZ5" s="3">
        <v>0</v>
      </c>
      <c r="CA5" s="3">
        <v>0</v>
      </c>
      <c r="CB5" s="3">
        <v>0</v>
      </c>
      <c r="CC5" s="3">
        <v>0</v>
      </c>
      <c r="CD5" s="3">
        <v>4</v>
      </c>
      <c r="CE5" s="3">
        <v>2</v>
      </c>
      <c r="CF5" s="3">
        <v>0</v>
      </c>
      <c r="CG5" s="3">
        <v>1</v>
      </c>
      <c r="CH5" s="3">
        <v>2</v>
      </c>
      <c r="CI5" s="3">
        <v>0</v>
      </c>
      <c r="CJ5" s="3">
        <v>3</v>
      </c>
      <c r="CK5" s="3">
        <v>2</v>
      </c>
      <c r="CL5" s="3">
        <v>0</v>
      </c>
      <c r="CM5" s="3">
        <f t="shared" si="7"/>
        <v>40</v>
      </c>
      <c r="CN5" s="3">
        <f t="shared" si="8"/>
        <v>12.5</v>
      </c>
      <c r="CO5" s="3">
        <f t="shared" si="9"/>
        <v>45.833333333333336</v>
      </c>
      <c r="CP5" s="3">
        <f t="shared" si="10"/>
        <v>43.75</v>
      </c>
      <c r="CQ5" s="3">
        <f t="shared" si="11"/>
        <v>0</v>
      </c>
      <c r="CR5" s="3">
        <f t="shared" si="12"/>
        <v>37.5</v>
      </c>
      <c r="CS5">
        <f t="shared" si="13"/>
        <v>25</v>
      </c>
      <c r="CT5">
        <f t="shared" si="14"/>
        <v>41.666666666666664</v>
      </c>
      <c r="CU5">
        <f t="shared" si="15"/>
        <v>30.78125</v>
      </c>
      <c r="CV5">
        <v>2</v>
      </c>
      <c r="CW5">
        <v>0</v>
      </c>
      <c r="CX5">
        <v>2</v>
      </c>
      <c r="CY5">
        <v>0</v>
      </c>
      <c r="CZ5">
        <v>1</v>
      </c>
      <c r="DA5">
        <v>0</v>
      </c>
      <c r="DB5">
        <v>0</v>
      </c>
      <c r="DC5">
        <v>3</v>
      </c>
      <c r="DD5">
        <v>2</v>
      </c>
      <c r="DE5">
        <v>1</v>
      </c>
      <c r="DF5">
        <v>0</v>
      </c>
      <c r="DG5">
        <v>0</v>
      </c>
      <c r="DH5">
        <v>0</v>
      </c>
      <c r="DI5">
        <v>3</v>
      </c>
      <c r="DJ5">
        <v>0</v>
      </c>
      <c r="DK5">
        <f t="shared" si="2"/>
        <v>14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1</v>
      </c>
      <c r="DS5">
        <v>2</v>
      </c>
      <c r="DT5">
        <v>1</v>
      </c>
      <c r="DU5">
        <v>0</v>
      </c>
      <c r="DV5">
        <v>1</v>
      </c>
      <c r="DW5">
        <v>0</v>
      </c>
      <c r="DX5">
        <v>0</v>
      </c>
      <c r="DY5">
        <f t="shared" si="16"/>
        <v>5</v>
      </c>
      <c r="DZ5">
        <v>0</v>
      </c>
      <c r="EA5">
        <v>0</v>
      </c>
      <c r="EB5">
        <v>0</v>
      </c>
      <c r="EC5">
        <v>0</v>
      </c>
      <c r="ED5">
        <v>2</v>
      </c>
      <c r="EE5">
        <v>0</v>
      </c>
      <c r="EF5">
        <v>2</v>
      </c>
      <c r="EG5">
        <v>0</v>
      </c>
      <c r="EH5">
        <v>0</v>
      </c>
      <c r="EI5">
        <v>0</v>
      </c>
      <c r="EJ5">
        <v>0</v>
      </c>
      <c r="EK5">
        <v>1</v>
      </c>
      <c r="EL5">
        <v>1</v>
      </c>
      <c r="EM5">
        <v>0</v>
      </c>
      <c r="EN5">
        <v>0</v>
      </c>
      <c r="EO5">
        <v>0</v>
      </c>
      <c r="EP5">
        <v>0</v>
      </c>
      <c r="EQ5">
        <v>1</v>
      </c>
      <c r="ER5">
        <v>1</v>
      </c>
      <c r="ES5">
        <v>1</v>
      </c>
      <c r="ET5">
        <v>0</v>
      </c>
      <c r="EU5">
        <v>0</v>
      </c>
      <c r="EV5">
        <v>0</v>
      </c>
      <c r="EW5">
        <v>0</v>
      </c>
      <c r="EX5">
        <v>1</v>
      </c>
      <c r="EY5">
        <v>0</v>
      </c>
      <c r="EZ5">
        <v>0</v>
      </c>
      <c r="FA5">
        <v>0</v>
      </c>
      <c r="FB5">
        <v>1</v>
      </c>
      <c r="FC5">
        <v>0</v>
      </c>
      <c r="FD5">
        <v>0</v>
      </c>
      <c r="FE5">
        <v>0</v>
      </c>
      <c r="FF5">
        <v>0</v>
      </c>
      <c r="FG5">
        <f t="shared" si="3"/>
        <v>11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f t="shared" si="4"/>
        <v>0</v>
      </c>
      <c r="FO5">
        <f t="shared" si="17"/>
        <v>30</v>
      </c>
      <c r="FP5">
        <v>13</v>
      </c>
      <c r="FQ5">
        <v>5</v>
      </c>
      <c r="FR5">
        <v>3</v>
      </c>
      <c r="FS5">
        <v>6</v>
      </c>
      <c r="FT5">
        <v>2</v>
      </c>
      <c r="FU5">
        <v>2</v>
      </c>
      <c r="FV5">
        <v>3</v>
      </c>
      <c r="FW5">
        <v>6</v>
      </c>
      <c r="FX5">
        <f t="shared" si="5"/>
        <v>27</v>
      </c>
      <c r="FY5">
        <v>0</v>
      </c>
      <c r="FZ5">
        <f t="shared" si="6"/>
        <v>1</v>
      </c>
      <c r="GA5">
        <v>1</v>
      </c>
    </row>
    <row r="6" spans="1:183" x14ac:dyDescent="0.2">
      <c r="A6">
        <v>5</v>
      </c>
      <c r="B6">
        <v>1</v>
      </c>
      <c r="C6">
        <v>1</v>
      </c>
      <c r="D6">
        <v>0</v>
      </c>
      <c r="E6" s="2">
        <v>20657</v>
      </c>
      <c r="F6" s="2">
        <v>44355</v>
      </c>
      <c r="G6" s="3">
        <f t="shared" si="0"/>
        <v>64.833333333333329</v>
      </c>
      <c r="H6">
        <v>50</v>
      </c>
      <c r="I6" s="3">
        <f t="shared" si="1"/>
        <v>14.833333333333329</v>
      </c>
      <c r="J6">
        <v>0</v>
      </c>
      <c r="K6">
        <v>1</v>
      </c>
      <c r="L6">
        <v>8</v>
      </c>
      <c r="M6">
        <v>0</v>
      </c>
      <c r="N6">
        <v>2</v>
      </c>
      <c r="O6">
        <v>0</v>
      </c>
      <c r="P6">
        <v>2</v>
      </c>
      <c r="Q6">
        <v>4</v>
      </c>
      <c r="R6">
        <v>3</v>
      </c>
      <c r="S6">
        <v>1</v>
      </c>
      <c r="T6">
        <v>1</v>
      </c>
      <c r="U6">
        <v>0</v>
      </c>
      <c r="V6">
        <v>1</v>
      </c>
      <c r="W6">
        <v>1</v>
      </c>
      <c r="X6">
        <v>2</v>
      </c>
      <c r="Y6">
        <v>2</v>
      </c>
      <c r="Z6">
        <v>0</v>
      </c>
      <c r="AA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1</v>
      </c>
      <c r="AI6">
        <f>AJ6*ledd!$B$2+AK6*ledd!$B$3+AL6*ledd!$B$4+AM6*ledd!$B$5+AN6*ledd!$B$6+AO6*ledd!$B$7+AP6*ledd!$B$8+AQ6*ledd!$B$9+AR6*ledd!$B$10+AS6*ledd!$B$11+AT6*ledd!$B$12+AU6*ledd!$B$13+AV6*ledd!$B$14+AW6*ledd!$B$15+AX6*ledd!$B$16</f>
        <v>726.5</v>
      </c>
      <c r="AJ6">
        <v>250</v>
      </c>
      <c r="AK6">
        <v>0</v>
      </c>
      <c r="AL6">
        <v>0</v>
      </c>
      <c r="AM6">
        <v>0</v>
      </c>
      <c r="AN6">
        <v>0</v>
      </c>
      <c r="AO6">
        <v>8</v>
      </c>
      <c r="AP6">
        <v>0</v>
      </c>
      <c r="AQ6">
        <v>0</v>
      </c>
      <c r="AR6">
        <v>0</v>
      </c>
      <c r="AS6">
        <v>1</v>
      </c>
      <c r="AT6">
        <v>200</v>
      </c>
      <c r="AU6">
        <v>0</v>
      </c>
      <c r="AV6">
        <v>0</v>
      </c>
      <c r="AW6">
        <v>0</v>
      </c>
      <c r="AX6">
        <v>50</v>
      </c>
      <c r="AY6">
        <v>1</v>
      </c>
      <c r="AZ6" s="3">
        <v>2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4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f t="shared" si="7"/>
        <v>5</v>
      </c>
      <c r="CN6" s="3">
        <f t="shared" si="8"/>
        <v>16.666666666666668</v>
      </c>
      <c r="CO6" s="3">
        <f t="shared" si="9"/>
        <v>0</v>
      </c>
      <c r="CP6" s="3">
        <f t="shared" si="10"/>
        <v>0</v>
      </c>
      <c r="CQ6" s="3">
        <f t="shared" si="11"/>
        <v>0</v>
      </c>
      <c r="CR6" s="3">
        <f t="shared" si="12"/>
        <v>0</v>
      </c>
      <c r="CS6">
        <f t="shared" si="13"/>
        <v>0</v>
      </c>
      <c r="CT6">
        <f t="shared" si="14"/>
        <v>0</v>
      </c>
      <c r="CU6">
        <f t="shared" si="15"/>
        <v>2.7083333333333335</v>
      </c>
      <c r="CV6">
        <v>0</v>
      </c>
      <c r="CW6">
        <v>1</v>
      </c>
      <c r="CX6">
        <v>0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3</v>
      </c>
      <c r="DH6">
        <v>0</v>
      </c>
      <c r="DI6">
        <v>0</v>
      </c>
      <c r="DJ6">
        <v>0</v>
      </c>
      <c r="DK6">
        <f t="shared" si="2"/>
        <v>5</v>
      </c>
      <c r="DL6">
        <v>1</v>
      </c>
      <c r="DM6">
        <v>0</v>
      </c>
      <c r="DN6">
        <v>1</v>
      </c>
      <c r="DO6">
        <v>0</v>
      </c>
      <c r="DP6">
        <v>0</v>
      </c>
      <c r="DQ6">
        <v>0</v>
      </c>
      <c r="DR6">
        <v>3</v>
      </c>
      <c r="DS6">
        <v>0</v>
      </c>
      <c r="DT6">
        <v>0</v>
      </c>
      <c r="DU6">
        <v>0</v>
      </c>
      <c r="DV6">
        <v>1</v>
      </c>
      <c r="DW6">
        <v>0</v>
      </c>
      <c r="DX6">
        <v>1</v>
      </c>
      <c r="DY6">
        <f t="shared" si="16"/>
        <v>7</v>
      </c>
      <c r="DZ6">
        <v>2</v>
      </c>
      <c r="EA6">
        <v>1</v>
      </c>
      <c r="EB6">
        <v>0</v>
      </c>
      <c r="EC6">
        <v>1</v>
      </c>
      <c r="ED6">
        <v>1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1</v>
      </c>
      <c r="EL6">
        <v>0</v>
      </c>
      <c r="EM6">
        <v>0</v>
      </c>
      <c r="EN6">
        <v>0</v>
      </c>
      <c r="EO6">
        <v>0</v>
      </c>
      <c r="EP6">
        <v>0</v>
      </c>
      <c r="EQ6">
        <v>1</v>
      </c>
      <c r="ER6">
        <v>1</v>
      </c>
      <c r="ES6">
        <v>0</v>
      </c>
      <c r="ET6">
        <v>1</v>
      </c>
      <c r="EU6">
        <v>1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f t="shared" si="3"/>
        <v>10</v>
      </c>
      <c r="FH6">
        <v>0</v>
      </c>
      <c r="FI6">
        <v>1</v>
      </c>
      <c r="FJ6">
        <v>0</v>
      </c>
      <c r="FK6">
        <v>0</v>
      </c>
      <c r="FL6">
        <v>0</v>
      </c>
      <c r="FM6">
        <v>0</v>
      </c>
      <c r="FN6">
        <f t="shared" si="4"/>
        <v>1</v>
      </c>
      <c r="FO6">
        <f t="shared" si="17"/>
        <v>23</v>
      </c>
      <c r="FP6">
        <v>10</v>
      </c>
      <c r="FQ6">
        <v>3</v>
      </c>
      <c r="FR6">
        <v>3</v>
      </c>
      <c r="FS6">
        <v>6</v>
      </c>
      <c r="FT6">
        <v>3</v>
      </c>
      <c r="FU6">
        <v>2</v>
      </c>
      <c r="FV6">
        <v>5</v>
      </c>
      <c r="FW6">
        <v>6</v>
      </c>
      <c r="FX6">
        <f t="shared" si="5"/>
        <v>28</v>
      </c>
      <c r="FY6">
        <v>0</v>
      </c>
      <c r="FZ6">
        <f t="shared" si="6"/>
        <v>2</v>
      </c>
      <c r="GA6">
        <v>1</v>
      </c>
    </row>
    <row r="7" spans="1:183" x14ac:dyDescent="0.2">
      <c r="A7">
        <v>6</v>
      </c>
      <c r="B7">
        <v>1</v>
      </c>
      <c r="C7">
        <v>1</v>
      </c>
      <c r="D7">
        <v>0</v>
      </c>
      <c r="E7" s="2">
        <v>19424</v>
      </c>
      <c r="F7" s="2">
        <v>44355</v>
      </c>
      <c r="G7" s="3">
        <f t="shared" si="0"/>
        <v>68.25</v>
      </c>
      <c r="H7">
        <v>52</v>
      </c>
      <c r="I7" s="3">
        <f t="shared" si="1"/>
        <v>16.25</v>
      </c>
      <c r="J7">
        <v>11</v>
      </c>
      <c r="K7">
        <v>3</v>
      </c>
      <c r="L7">
        <v>0</v>
      </c>
      <c r="M7">
        <v>0</v>
      </c>
      <c r="N7">
        <v>2</v>
      </c>
      <c r="O7">
        <v>2</v>
      </c>
      <c r="P7">
        <v>4</v>
      </c>
      <c r="Q7">
        <v>2</v>
      </c>
      <c r="R7">
        <v>1</v>
      </c>
      <c r="S7">
        <v>0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  <c r="AA7">
        <v>1</v>
      </c>
      <c r="AB7">
        <v>3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f>AJ7*ledd!$B$2+AK7*ledd!$B$3+AL7*ledd!$B$4+AM7*ledd!$B$5+AN7*ledd!$B$6+AO7*ledd!$B$7+AP7*ledd!$B$8+AQ7*ledd!$B$9+AR7*ledd!$B$10+AS7*ledd!$B$11+AT7*ledd!$B$12+AU7*ledd!$B$13+AV7*ledd!$B$14+AW7*ledd!$B$15+AX7*ledd!$B$16</f>
        <v>716.5</v>
      </c>
      <c r="AJ7">
        <v>650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50</v>
      </c>
      <c r="AX7">
        <v>50</v>
      </c>
      <c r="AY7">
        <v>3</v>
      </c>
      <c r="AZ7" s="3">
        <v>2</v>
      </c>
      <c r="BA7" s="3">
        <v>0</v>
      </c>
      <c r="BB7" s="3">
        <v>4</v>
      </c>
      <c r="BC7" s="3">
        <v>0</v>
      </c>
      <c r="BD7" s="3">
        <v>0</v>
      </c>
      <c r="BE7" s="3">
        <v>1</v>
      </c>
      <c r="BF7" s="3">
        <v>0</v>
      </c>
      <c r="BG7" s="3">
        <v>4</v>
      </c>
      <c r="BH7" s="3">
        <v>4</v>
      </c>
      <c r="BI7" s="3">
        <v>3</v>
      </c>
      <c r="BJ7" s="3">
        <v>0</v>
      </c>
      <c r="BK7" s="3">
        <v>0</v>
      </c>
      <c r="BL7" s="3">
        <v>0</v>
      </c>
      <c r="BM7" s="3">
        <v>3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3</v>
      </c>
      <c r="BV7" s="3">
        <v>0</v>
      </c>
      <c r="BW7" s="3">
        <v>0</v>
      </c>
      <c r="BX7" s="3">
        <v>3</v>
      </c>
      <c r="BY7" s="3">
        <v>3</v>
      </c>
      <c r="BZ7" s="3">
        <v>3</v>
      </c>
      <c r="CA7" s="3">
        <v>2</v>
      </c>
      <c r="CB7" s="3">
        <v>0</v>
      </c>
      <c r="CC7" s="3">
        <v>3</v>
      </c>
      <c r="CD7" s="3">
        <v>3</v>
      </c>
      <c r="CE7" s="3">
        <v>3</v>
      </c>
      <c r="CF7" s="3">
        <v>0</v>
      </c>
      <c r="CG7" s="3">
        <v>1</v>
      </c>
      <c r="CH7" s="3">
        <v>0</v>
      </c>
      <c r="CI7" s="3">
        <v>0</v>
      </c>
      <c r="CJ7" s="3">
        <v>3</v>
      </c>
      <c r="CK7" s="3">
        <v>0</v>
      </c>
      <c r="CL7" s="3">
        <v>2</v>
      </c>
      <c r="CM7" s="3">
        <f t="shared" si="7"/>
        <v>45</v>
      </c>
      <c r="CN7" s="3">
        <f t="shared" si="8"/>
        <v>12.5</v>
      </c>
      <c r="CO7" s="3">
        <f t="shared" si="9"/>
        <v>12.5</v>
      </c>
      <c r="CP7" s="3">
        <f t="shared" si="10"/>
        <v>37.5</v>
      </c>
      <c r="CQ7" s="3">
        <f t="shared" si="11"/>
        <v>41.666666666666664</v>
      </c>
      <c r="CR7" s="3">
        <f t="shared" si="12"/>
        <v>56.25</v>
      </c>
      <c r="CS7">
        <f t="shared" si="13"/>
        <v>8.3333333333333339</v>
      </c>
      <c r="CT7">
        <f t="shared" si="14"/>
        <v>41.666666666666664</v>
      </c>
      <c r="CU7">
        <f t="shared" si="15"/>
        <v>31.927083333333332</v>
      </c>
      <c r="CV7">
        <v>2</v>
      </c>
      <c r="CW7">
        <v>0</v>
      </c>
      <c r="CX7">
        <v>0</v>
      </c>
      <c r="CY7">
        <v>2</v>
      </c>
      <c r="CZ7">
        <v>4</v>
      </c>
      <c r="DA7">
        <v>0</v>
      </c>
      <c r="DB7">
        <v>0</v>
      </c>
      <c r="DC7">
        <v>4</v>
      </c>
      <c r="DD7">
        <v>4</v>
      </c>
      <c r="DE7">
        <v>4</v>
      </c>
      <c r="DF7">
        <v>1</v>
      </c>
      <c r="DG7">
        <v>3</v>
      </c>
      <c r="DH7">
        <v>1</v>
      </c>
      <c r="DI7">
        <v>4</v>
      </c>
      <c r="DJ7">
        <v>0</v>
      </c>
      <c r="DK7">
        <f t="shared" si="2"/>
        <v>29</v>
      </c>
      <c r="DL7">
        <v>2</v>
      </c>
      <c r="DM7">
        <v>0</v>
      </c>
      <c r="DN7">
        <v>1</v>
      </c>
      <c r="DO7">
        <v>0</v>
      </c>
      <c r="DP7">
        <v>0</v>
      </c>
      <c r="DQ7">
        <v>0</v>
      </c>
      <c r="DR7">
        <v>2</v>
      </c>
      <c r="DS7">
        <v>4</v>
      </c>
      <c r="DT7">
        <v>1</v>
      </c>
      <c r="DU7">
        <v>1</v>
      </c>
      <c r="DV7">
        <v>0</v>
      </c>
      <c r="DW7">
        <v>2</v>
      </c>
      <c r="DX7">
        <v>4</v>
      </c>
      <c r="DY7">
        <f t="shared" si="16"/>
        <v>17</v>
      </c>
      <c r="DZ7">
        <v>1</v>
      </c>
      <c r="EA7">
        <v>2</v>
      </c>
      <c r="EB7">
        <v>3</v>
      </c>
      <c r="EC7">
        <v>2</v>
      </c>
      <c r="ED7">
        <v>2</v>
      </c>
      <c r="EE7">
        <v>2</v>
      </c>
      <c r="EF7">
        <v>4</v>
      </c>
      <c r="EG7">
        <v>1</v>
      </c>
      <c r="EH7">
        <v>2</v>
      </c>
      <c r="EI7">
        <v>1</v>
      </c>
      <c r="EJ7">
        <v>1</v>
      </c>
      <c r="EK7">
        <v>3</v>
      </c>
      <c r="EL7">
        <v>3</v>
      </c>
      <c r="EM7">
        <v>2</v>
      </c>
      <c r="EN7">
        <v>4</v>
      </c>
      <c r="EO7">
        <v>2</v>
      </c>
      <c r="EP7">
        <v>4</v>
      </c>
      <c r="EQ7">
        <v>2</v>
      </c>
      <c r="ER7">
        <v>2</v>
      </c>
      <c r="ES7">
        <v>2</v>
      </c>
      <c r="ET7">
        <v>2</v>
      </c>
      <c r="EU7">
        <v>2</v>
      </c>
      <c r="EV7">
        <v>2</v>
      </c>
      <c r="EW7">
        <v>1</v>
      </c>
      <c r="EX7">
        <v>1</v>
      </c>
      <c r="EY7">
        <v>1</v>
      </c>
      <c r="EZ7">
        <v>1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f t="shared" si="3"/>
        <v>55</v>
      </c>
      <c r="FH7">
        <v>2</v>
      </c>
      <c r="FI7">
        <v>3</v>
      </c>
      <c r="FJ7">
        <v>3</v>
      </c>
      <c r="FK7">
        <v>4</v>
      </c>
      <c r="FL7">
        <v>1</v>
      </c>
      <c r="FM7">
        <v>1</v>
      </c>
      <c r="FN7">
        <f t="shared" si="4"/>
        <v>14</v>
      </c>
      <c r="FO7">
        <f t="shared" si="17"/>
        <v>115</v>
      </c>
      <c r="FP7">
        <v>7</v>
      </c>
      <c r="FQ7">
        <v>1</v>
      </c>
      <c r="FR7">
        <v>3</v>
      </c>
      <c r="FS7">
        <v>3</v>
      </c>
      <c r="FT7">
        <v>3</v>
      </c>
      <c r="FU7">
        <v>2</v>
      </c>
      <c r="FV7">
        <v>3</v>
      </c>
      <c r="FW7">
        <v>6</v>
      </c>
      <c r="FX7">
        <f t="shared" si="5"/>
        <v>21</v>
      </c>
      <c r="FY7">
        <v>3</v>
      </c>
      <c r="FZ7">
        <f t="shared" si="6"/>
        <v>5</v>
      </c>
      <c r="GA7">
        <v>1</v>
      </c>
    </row>
    <row r="8" spans="1:183" x14ac:dyDescent="0.2">
      <c r="A8">
        <v>7</v>
      </c>
      <c r="B8">
        <v>1</v>
      </c>
      <c r="C8">
        <v>1</v>
      </c>
      <c r="D8">
        <v>1</v>
      </c>
      <c r="E8" s="2">
        <v>29402</v>
      </c>
      <c r="F8" s="2">
        <v>44356</v>
      </c>
      <c r="G8" s="3">
        <f t="shared" si="0"/>
        <v>40.916666666666664</v>
      </c>
      <c r="H8">
        <v>34</v>
      </c>
      <c r="I8" s="3">
        <f t="shared" si="1"/>
        <v>6.9166666666666643</v>
      </c>
      <c r="J8">
        <v>0</v>
      </c>
      <c r="K8">
        <v>1</v>
      </c>
      <c r="L8">
        <v>0</v>
      </c>
      <c r="M8">
        <v>0</v>
      </c>
      <c r="N8">
        <v>2</v>
      </c>
      <c r="O8">
        <v>0</v>
      </c>
      <c r="P8">
        <v>1</v>
      </c>
      <c r="Q8">
        <v>4</v>
      </c>
      <c r="R8">
        <v>3</v>
      </c>
      <c r="S8">
        <v>1</v>
      </c>
      <c r="T8">
        <v>1</v>
      </c>
      <c r="U8">
        <v>1</v>
      </c>
      <c r="V8">
        <v>1</v>
      </c>
      <c r="W8">
        <v>1</v>
      </c>
      <c r="X8">
        <v>2</v>
      </c>
      <c r="Y8">
        <v>2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f>AJ8*ledd!$B$2+AK8*ledd!$B$3+AL8*ledd!$B$4+AM8*ledd!$B$5+AN8*ledd!$B$6+AO8*ledd!$B$7+AP8*ledd!$B$8+AQ8*ledd!$B$9+AR8*ledd!$B$10+AS8*ledd!$B$11+AT8*ledd!$B$12+AU8*ledd!$B$13+AV8*ledd!$B$14+AW8*ledd!$B$15+AX8*ledd!$B$16</f>
        <v>751.5</v>
      </c>
      <c r="AJ8">
        <v>400</v>
      </c>
      <c r="AK8">
        <v>100</v>
      </c>
      <c r="AL8">
        <v>0</v>
      </c>
      <c r="AM8">
        <v>0</v>
      </c>
      <c r="AN8">
        <v>0</v>
      </c>
      <c r="AO8">
        <v>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100</v>
      </c>
      <c r="AX8">
        <v>50</v>
      </c>
      <c r="AY8">
        <v>1</v>
      </c>
      <c r="AZ8" s="3">
        <v>3</v>
      </c>
      <c r="BA8" s="3">
        <v>2</v>
      </c>
      <c r="BB8" s="3">
        <v>0</v>
      </c>
      <c r="BC8" s="3">
        <v>0</v>
      </c>
      <c r="BD8" s="3">
        <v>0</v>
      </c>
      <c r="BE8" s="3">
        <v>3</v>
      </c>
      <c r="BF8" s="3">
        <v>1</v>
      </c>
      <c r="BG8" s="3">
        <v>0</v>
      </c>
      <c r="BH8" s="3">
        <v>0</v>
      </c>
      <c r="BI8" s="3">
        <v>3</v>
      </c>
      <c r="BJ8" s="3">
        <v>2</v>
      </c>
      <c r="BK8" s="3">
        <v>1</v>
      </c>
      <c r="BL8" s="3">
        <v>1</v>
      </c>
      <c r="BM8" s="3">
        <v>3</v>
      </c>
      <c r="BN8" s="3">
        <v>1</v>
      </c>
      <c r="BO8" s="3">
        <v>1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1</v>
      </c>
      <c r="BV8" s="3">
        <v>1</v>
      </c>
      <c r="BW8" s="3">
        <v>0</v>
      </c>
      <c r="BX8" s="3">
        <v>0</v>
      </c>
      <c r="BY8" s="3">
        <v>1</v>
      </c>
      <c r="BZ8" s="3">
        <v>0</v>
      </c>
      <c r="CA8" s="3">
        <v>0</v>
      </c>
      <c r="CB8" s="3">
        <v>0</v>
      </c>
      <c r="CC8" s="3">
        <v>1</v>
      </c>
      <c r="CD8" s="3">
        <v>2</v>
      </c>
      <c r="CE8" s="3">
        <v>0</v>
      </c>
      <c r="CF8" s="3">
        <v>0</v>
      </c>
      <c r="CG8" s="3">
        <v>1</v>
      </c>
      <c r="CH8" s="3">
        <v>1</v>
      </c>
      <c r="CI8" s="3">
        <v>0</v>
      </c>
      <c r="CJ8" s="3">
        <v>3</v>
      </c>
      <c r="CK8" s="3">
        <v>3</v>
      </c>
      <c r="CL8" s="3">
        <v>3</v>
      </c>
      <c r="CM8" s="3">
        <f t="shared" si="7"/>
        <v>30</v>
      </c>
      <c r="CN8" s="3">
        <f t="shared" si="8"/>
        <v>37.5</v>
      </c>
      <c r="CO8" s="3">
        <f t="shared" si="9"/>
        <v>4.166666666666667</v>
      </c>
      <c r="CP8" s="3">
        <f t="shared" si="10"/>
        <v>12.5</v>
      </c>
      <c r="CQ8" s="3">
        <f t="shared" si="11"/>
        <v>0</v>
      </c>
      <c r="CR8" s="3">
        <f t="shared" si="12"/>
        <v>18.75</v>
      </c>
      <c r="CS8">
        <f t="shared" si="13"/>
        <v>16.666666666666668</v>
      </c>
      <c r="CT8">
        <f t="shared" si="14"/>
        <v>75</v>
      </c>
      <c r="CU8">
        <f t="shared" si="15"/>
        <v>24.322916666666668</v>
      </c>
      <c r="CV8">
        <v>0</v>
      </c>
      <c r="CW8">
        <v>0</v>
      </c>
      <c r="CX8">
        <v>0</v>
      </c>
      <c r="CY8">
        <v>0</v>
      </c>
      <c r="CZ8">
        <v>0</v>
      </c>
      <c r="DA8">
        <v>3</v>
      </c>
      <c r="DB8">
        <v>0</v>
      </c>
      <c r="DC8">
        <v>3</v>
      </c>
      <c r="DD8">
        <v>0</v>
      </c>
      <c r="DE8">
        <v>4</v>
      </c>
      <c r="DF8">
        <v>0</v>
      </c>
      <c r="DG8">
        <v>0</v>
      </c>
      <c r="DH8">
        <v>0</v>
      </c>
      <c r="DI8">
        <v>3</v>
      </c>
      <c r="DJ8">
        <v>0</v>
      </c>
      <c r="DK8">
        <f t="shared" si="2"/>
        <v>13</v>
      </c>
      <c r="DL8">
        <v>0</v>
      </c>
      <c r="DM8">
        <v>0</v>
      </c>
      <c r="DN8">
        <v>0</v>
      </c>
      <c r="DO8">
        <v>1</v>
      </c>
      <c r="DP8">
        <v>3</v>
      </c>
      <c r="DQ8">
        <v>0</v>
      </c>
      <c r="DR8">
        <v>2</v>
      </c>
      <c r="DS8">
        <v>3</v>
      </c>
      <c r="DT8">
        <v>1</v>
      </c>
      <c r="DU8">
        <v>0</v>
      </c>
      <c r="DV8">
        <v>1</v>
      </c>
      <c r="DW8">
        <v>0</v>
      </c>
      <c r="DX8">
        <v>0</v>
      </c>
      <c r="DY8">
        <f t="shared" si="16"/>
        <v>11</v>
      </c>
      <c r="DZ8">
        <v>0</v>
      </c>
      <c r="EA8">
        <v>1</v>
      </c>
      <c r="EB8">
        <v>1</v>
      </c>
      <c r="EC8">
        <v>1</v>
      </c>
      <c r="ED8">
        <v>1</v>
      </c>
      <c r="EE8">
        <v>0</v>
      </c>
      <c r="EF8">
        <v>0</v>
      </c>
      <c r="EG8">
        <v>0</v>
      </c>
      <c r="EH8">
        <v>0</v>
      </c>
      <c r="EI8">
        <v>1</v>
      </c>
      <c r="EJ8">
        <v>2</v>
      </c>
      <c r="EK8">
        <v>2</v>
      </c>
      <c r="EL8">
        <v>3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1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f t="shared" si="3"/>
        <v>13</v>
      </c>
      <c r="FH8">
        <v>2</v>
      </c>
      <c r="FI8">
        <v>4</v>
      </c>
      <c r="FJ8">
        <v>1</v>
      </c>
      <c r="FK8">
        <v>3</v>
      </c>
      <c r="FL8">
        <v>1</v>
      </c>
      <c r="FM8">
        <v>1</v>
      </c>
      <c r="FN8">
        <f t="shared" si="4"/>
        <v>12</v>
      </c>
      <c r="FO8">
        <f t="shared" si="17"/>
        <v>49</v>
      </c>
      <c r="FP8">
        <v>11</v>
      </c>
      <c r="FQ8">
        <v>5</v>
      </c>
      <c r="FR8">
        <v>3</v>
      </c>
      <c r="FS8">
        <v>6</v>
      </c>
      <c r="FT8">
        <v>3</v>
      </c>
      <c r="FU8">
        <v>2</v>
      </c>
      <c r="FV8">
        <v>3</v>
      </c>
      <c r="FW8">
        <v>6</v>
      </c>
      <c r="FX8">
        <f t="shared" si="5"/>
        <v>28</v>
      </c>
      <c r="FY8">
        <v>0</v>
      </c>
      <c r="FZ8">
        <f t="shared" si="6"/>
        <v>0</v>
      </c>
      <c r="GA8">
        <v>1</v>
      </c>
    </row>
    <row r="9" spans="1:183" x14ac:dyDescent="0.2">
      <c r="A9">
        <v>8</v>
      </c>
      <c r="B9">
        <v>1</v>
      </c>
      <c r="C9">
        <v>1</v>
      </c>
      <c r="D9">
        <v>1</v>
      </c>
      <c r="E9" s="2">
        <v>17670</v>
      </c>
      <c r="F9" s="2">
        <v>44361</v>
      </c>
      <c r="G9" s="3">
        <f t="shared" si="0"/>
        <v>73</v>
      </c>
      <c r="H9">
        <v>56</v>
      </c>
      <c r="I9" s="3">
        <f t="shared" si="1"/>
        <v>17</v>
      </c>
      <c r="J9">
        <v>0</v>
      </c>
      <c r="K9">
        <v>0</v>
      </c>
      <c r="L9">
        <v>1</v>
      </c>
      <c r="M9">
        <v>0</v>
      </c>
      <c r="N9">
        <v>2</v>
      </c>
      <c r="O9">
        <v>0</v>
      </c>
      <c r="P9">
        <v>4</v>
      </c>
      <c r="Q9">
        <v>3</v>
      </c>
      <c r="R9">
        <v>2</v>
      </c>
      <c r="S9">
        <v>1</v>
      </c>
      <c r="T9">
        <v>1</v>
      </c>
      <c r="U9">
        <v>0</v>
      </c>
      <c r="V9">
        <v>1</v>
      </c>
      <c r="W9">
        <v>1</v>
      </c>
      <c r="X9">
        <v>0</v>
      </c>
      <c r="Y9">
        <v>0</v>
      </c>
      <c r="AA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2</v>
      </c>
      <c r="AI9">
        <f>AJ9*ledd!$B$2+AK9*ledd!$B$3+AL9*ledd!$B$4+AM9*ledd!$B$5+AN9*ledd!$B$6+AO9*ledd!$B$7+AP9*ledd!$B$8+AQ9*ledd!$B$9+AR9*ledd!$B$10+AS9*ledd!$B$11+AT9*ledd!$B$12+AU9*ledd!$B$13+AV9*ledd!$B$14+AW9*ledd!$B$15+AX9*ledd!$B$16</f>
        <v>920</v>
      </c>
      <c r="AJ9">
        <v>400</v>
      </c>
      <c r="AK9">
        <v>0</v>
      </c>
      <c r="AL9">
        <v>0</v>
      </c>
      <c r="AM9">
        <v>0</v>
      </c>
      <c r="AN9">
        <v>0</v>
      </c>
      <c r="AO9">
        <v>0</v>
      </c>
      <c r="AP9">
        <v>14</v>
      </c>
      <c r="AQ9">
        <v>0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5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1</v>
      </c>
      <c r="BJ9" s="3">
        <v>0</v>
      </c>
      <c r="BK9" s="3">
        <v>1</v>
      </c>
      <c r="BL9" s="3">
        <v>2</v>
      </c>
      <c r="BM9" s="3">
        <v>1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1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f t="shared" si="7"/>
        <v>2.5</v>
      </c>
      <c r="CN9" s="3">
        <f t="shared" si="8"/>
        <v>16.666666666666668</v>
      </c>
      <c r="CO9" s="3">
        <f t="shared" si="9"/>
        <v>0</v>
      </c>
      <c r="CP9" s="3">
        <f t="shared" si="10"/>
        <v>0</v>
      </c>
      <c r="CQ9" s="3">
        <f t="shared" si="11"/>
        <v>0</v>
      </c>
      <c r="CR9" s="3">
        <f t="shared" si="12"/>
        <v>0</v>
      </c>
      <c r="CS9">
        <f t="shared" si="13"/>
        <v>8.3333333333333339</v>
      </c>
      <c r="CT9">
        <f t="shared" si="14"/>
        <v>0</v>
      </c>
      <c r="CU9">
        <f t="shared" si="15"/>
        <v>3.4375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f t="shared" si="2"/>
        <v>1</v>
      </c>
      <c r="DL9">
        <v>1</v>
      </c>
      <c r="DM9">
        <v>1</v>
      </c>
      <c r="DN9">
        <v>0</v>
      </c>
      <c r="DO9">
        <v>0</v>
      </c>
      <c r="DP9">
        <v>2</v>
      </c>
      <c r="DQ9">
        <v>0</v>
      </c>
      <c r="DR9">
        <v>1</v>
      </c>
      <c r="DS9">
        <v>0</v>
      </c>
      <c r="DT9">
        <v>2</v>
      </c>
      <c r="DU9">
        <v>0</v>
      </c>
      <c r="DV9">
        <v>0</v>
      </c>
      <c r="DW9">
        <v>0</v>
      </c>
      <c r="DX9">
        <v>2</v>
      </c>
      <c r="DY9">
        <f t="shared" si="16"/>
        <v>9</v>
      </c>
      <c r="DZ9">
        <v>1</v>
      </c>
      <c r="EA9">
        <v>1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1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f t="shared" si="3"/>
        <v>3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f t="shared" si="4"/>
        <v>0</v>
      </c>
      <c r="FO9">
        <f t="shared" si="17"/>
        <v>13</v>
      </c>
      <c r="FP9">
        <v>3</v>
      </c>
      <c r="FQ9">
        <v>3</v>
      </c>
      <c r="FR9">
        <v>3</v>
      </c>
      <c r="FS9">
        <v>4</v>
      </c>
      <c r="FT9">
        <v>3</v>
      </c>
      <c r="FU9">
        <v>1</v>
      </c>
      <c r="FV9">
        <v>3</v>
      </c>
      <c r="FW9">
        <v>6</v>
      </c>
      <c r="FX9">
        <f t="shared" si="5"/>
        <v>23</v>
      </c>
      <c r="FY9">
        <v>2</v>
      </c>
      <c r="FZ9">
        <f t="shared" si="6"/>
        <v>5</v>
      </c>
      <c r="GA9">
        <v>0</v>
      </c>
    </row>
    <row r="10" spans="1:183" x14ac:dyDescent="0.2">
      <c r="A10">
        <v>9</v>
      </c>
      <c r="B10">
        <v>1</v>
      </c>
      <c r="C10">
        <v>1</v>
      </c>
      <c r="D10">
        <v>1</v>
      </c>
      <c r="E10" s="2">
        <v>19453</v>
      </c>
      <c r="F10" s="2">
        <v>44357</v>
      </c>
      <c r="G10" s="3">
        <f t="shared" si="0"/>
        <v>68.166666666666671</v>
      </c>
      <c r="H10">
        <v>62</v>
      </c>
      <c r="I10" s="3">
        <f t="shared" si="1"/>
        <v>6.1666666666666714</v>
      </c>
      <c r="J10">
        <v>0</v>
      </c>
      <c r="K10">
        <v>1</v>
      </c>
      <c r="L10">
        <v>0</v>
      </c>
      <c r="M10">
        <v>0</v>
      </c>
      <c r="N10">
        <v>2</v>
      </c>
      <c r="O10">
        <v>1</v>
      </c>
      <c r="P10">
        <v>1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1</v>
      </c>
      <c r="AB10">
        <v>0</v>
      </c>
      <c r="AC10">
        <v>0</v>
      </c>
      <c r="AD10">
        <v>6</v>
      </c>
      <c r="AE10">
        <v>0</v>
      </c>
      <c r="AF10">
        <v>0</v>
      </c>
      <c r="AG10">
        <v>0</v>
      </c>
      <c r="AH10">
        <v>0</v>
      </c>
      <c r="AI10">
        <f>AJ10*ledd!$B$2+AK10*ledd!$B$3+AL10*ledd!$B$4+AM10*ledd!$B$5+AN10*ledd!$B$6+AO10*ledd!$B$7+AP10*ledd!$B$8+AQ10*ledd!$B$9+AR10*ledd!$B$10+AS10*ledd!$B$11+AT10*ledd!$B$12+AU10*ledd!$B$13+AV10*ledd!$B$14+AW10*ledd!$B$15+AX10*ledd!$B$16</f>
        <v>452</v>
      </c>
      <c r="AJ10">
        <v>400</v>
      </c>
      <c r="AK10">
        <v>0</v>
      </c>
      <c r="AL10">
        <v>0</v>
      </c>
      <c r="AM10">
        <v>0</v>
      </c>
      <c r="AN10">
        <v>0.52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3</v>
      </c>
      <c r="AZ10" s="3">
        <v>2</v>
      </c>
      <c r="BA10" s="3">
        <v>2</v>
      </c>
      <c r="BB10" s="3">
        <v>2</v>
      </c>
      <c r="BC10" s="3">
        <v>2</v>
      </c>
      <c r="BD10" s="3">
        <v>1</v>
      </c>
      <c r="BE10" s="3">
        <v>2</v>
      </c>
      <c r="BF10" s="3">
        <v>1</v>
      </c>
      <c r="BG10" s="3">
        <v>1</v>
      </c>
      <c r="BH10" s="3">
        <v>2</v>
      </c>
      <c r="BI10" s="3">
        <v>2</v>
      </c>
      <c r="BJ10" s="3">
        <v>0</v>
      </c>
      <c r="BK10" s="3">
        <v>0</v>
      </c>
      <c r="BL10" s="3">
        <v>0</v>
      </c>
      <c r="BM10" s="3">
        <v>2</v>
      </c>
      <c r="BN10" s="3">
        <v>0</v>
      </c>
      <c r="BO10" s="3">
        <v>1</v>
      </c>
      <c r="BP10" s="3">
        <v>1</v>
      </c>
      <c r="BQ10" s="3">
        <v>1</v>
      </c>
      <c r="BR10" s="3">
        <v>1</v>
      </c>
      <c r="BS10" s="3">
        <v>0</v>
      </c>
      <c r="BT10" s="3">
        <v>2</v>
      </c>
      <c r="BU10" s="3">
        <v>2</v>
      </c>
      <c r="BV10" s="3">
        <v>0</v>
      </c>
      <c r="BW10" s="3">
        <v>1</v>
      </c>
      <c r="BX10" s="3">
        <v>1</v>
      </c>
      <c r="BY10" s="3">
        <v>1</v>
      </c>
      <c r="BZ10" s="3">
        <v>1</v>
      </c>
      <c r="CA10" s="3">
        <v>1</v>
      </c>
      <c r="CB10" s="3">
        <v>1</v>
      </c>
      <c r="CC10" s="3">
        <v>1</v>
      </c>
      <c r="CD10" s="3">
        <v>1</v>
      </c>
      <c r="CE10" s="3">
        <v>2</v>
      </c>
      <c r="CF10" s="3">
        <v>2</v>
      </c>
      <c r="CG10" s="3">
        <v>1</v>
      </c>
      <c r="CH10" s="3">
        <v>2</v>
      </c>
      <c r="CI10" s="3">
        <v>1</v>
      </c>
      <c r="CJ10" s="3">
        <v>2</v>
      </c>
      <c r="CK10" s="3">
        <v>2</v>
      </c>
      <c r="CL10" s="3">
        <v>2</v>
      </c>
      <c r="CM10" s="3">
        <f t="shared" si="7"/>
        <v>42.5</v>
      </c>
      <c r="CN10" s="3">
        <f t="shared" si="8"/>
        <v>12.5</v>
      </c>
      <c r="CO10" s="3">
        <f t="shared" si="9"/>
        <v>29.166666666666668</v>
      </c>
      <c r="CP10" s="3">
        <f t="shared" si="10"/>
        <v>18.75</v>
      </c>
      <c r="CQ10" s="3">
        <f t="shared" si="11"/>
        <v>25</v>
      </c>
      <c r="CR10" s="3">
        <f t="shared" si="12"/>
        <v>37.5</v>
      </c>
      <c r="CS10">
        <f t="shared" si="13"/>
        <v>33.333333333333336</v>
      </c>
      <c r="CT10">
        <f t="shared" si="14"/>
        <v>50</v>
      </c>
      <c r="CU10">
        <f t="shared" si="15"/>
        <v>31.093750000000004</v>
      </c>
      <c r="CV10">
        <v>0</v>
      </c>
      <c r="CW10">
        <v>0</v>
      </c>
      <c r="CX10">
        <v>1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f t="shared" si="2"/>
        <v>1</v>
      </c>
      <c r="DL10">
        <v>1</v>
      </c>
      <c r="DM10">
        <v>0</v>
      </c>
      <c r="DN10">
        <v>0</v>
      </c>
      <c r="DO10">
        <v>0</v>
      </c>
      <c r="DP10">
        <v>0</v>
      </c>
      <c r="DQ10">
        <v>1</v>
      </c>
      <c r="DR10">
        <v>2</v>
      </c>
      <c r="DS10">
        <v>1</v>
      </c>
      <c r="DT10">
        <v>0</v>
      </c>
      <c r="DU10">
        <v>1</v>
      </c>
      <c r="DV10">
        <v>0</v>
      </c>
      <c r="DW10">
        <v>1</v>
      </c>
      <c r="DX10">
        <v>1</v>
      </c>
      <c r="DY10">
        <f t="shared" si="16"/>
        <v>8</v>
      </c>
      <c r="DZ10">
        <v>2</v>
      </c>
      <c r="EA10">
        <v>3</v>
      </c>
      <c r="EB10">
        <v>3</v>
      </c>
      <c r="EC10">
        <v>2</v>
      </c>
      <c r="ED10">
        <v>2</v>
      </c>
      <c r="EE10">
        <v>3</v>
      </c>
      <c r="EF10">
        <v>2</v>
      </c>
      <c r="EG10">
        <v>1</v>
      </c>
      <c r="EH10">
        <v>2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2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2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2</v>
      </c>
      <c r="FD10">
        <v>0</v>
      </c>
      <c r="FE10">
        <v>0</v>
      </c>
      <c r="FF10">
        <v>1</v>
      </c>
      <c r="FG10">
        <f t="shared" si="3"/>
        <v>32</v>
      </c>
      <c r="FH10">
        <v>1</v>
      </c>
      <c r="FI10">
        <v>1</v>
      </c>
      <c r="FJ10">
        <v>0</v>
      </c>
      <c r="FK10">
        <v>0</v>
      </c>
      <c r="FL10">
        <v>0</v>
      </c>
      <c r="FM10">
        <v>0</v>
      </c>
      <c r="FN10">
        <f t="shared" si="4"/>
        <v>2</v>
      </c>
      <c r="FO10">
        <f t="shared" si="17"/>
        <v>43</v>
      </c>
      <c r="FP10">
        <v>5</v>
      </c>
      <c r="FQ10">
        <v>3</v>
      </c>
      <c r="FR10">
        <v>3</v>
      </c>
      <c r="FS10">
        <v>5</v>
      </c>
      <c r="FT10">
        <v>1</v>
      </c>
      <c r="FU10">
        <v>1</v>
      </c>
      <c r="FV10">
        <v>0</v>
      </c>
      <c r="FW10">
        <v>6</v>
      </c>
      <c r="FX10">
        <f t="shared" ref="FX10:FX73" si="18">SUM(FQ10:FW10)</f>
        <v>19</v>
      </c>
      <c r="FY10">
        <v>0</v>
      </c>
      <c r="FZ10">
        <f t="shared" si="6"/>
        <v>2</v>
      </c>
      <c r="GA10">
        <v>1</v>
      </c>
    </row>
    <row r="11" spans="1:183" x14ac:dyDescent="0.2">
      <c r="A11">
        <v>10</v>
      </c>
      <c r="B11">
        <v>1</v>
      </c>
      <c r="C11">
        <v>1</v>
      </c>
      <c r="D11">
        <v>1</v>
      </c>
      <c r="E11" s="2">
        <v>18226</v>
      </c>
      <c r="F11" s="2">
        <v>44363</v>
      </c>
      <c r="G11" s="3">
        <f t="shared" si="0"/>
        <v>71.5</v>
      </c>
      <c r="H11">
        <v>65</v>
      </c>
      <c r="I11" s="3">
        <f t="shared" si="1"/>
        <v>6.5</v>
      </c>
      <c r="J11">
        <v>0</v>
      </c>
      <c r="K11">
        <v>1</v>
      </c>
      <c r="L11">
        <v>0</v>
      </c>
      <c r="M11">
        <v>0</v>
      </c>
      <c r="N11">
        <v>2</v>
      </c>
      <c r="O11">
        <v>0</v>
      </c>
      <c r="P11">
        <v>3</v>
      </c>
      <c r="Q11">
        <v>2</v>
      </c>
      <c r="R11">
        <v>2</v>
      </c>
      <c r="S11">
        <v>1</v>
      </c>
      <c r="T11">
        <v>0</v>
      </c>
      <c r="U11">
        <v>0</v>
      </c>
      <c r="V11">
        <v>1</v>
      </c>
      <c r="W11">
        <v>1</v>
      </c>
      <c r="X11">
        <v>3</v>
      </c>
      <c r="Y11">
        <v>3</v>
      </c>
      <c r="Z11">
        <v>0</v>
      </c>
      <c r="AA11">
        <v>2</v>
      </c>
      <c r="AB11">
        <v>0</v>
      </c>
      <c r="AC11">
        <v>0</v>
      </c>
      <c r="AD11" s="5">
        <v>5</v>
      </c>
      <c r="AE11">
        <v>1</v>
      </c>
      <c r="AF11">
        <v>0</v>
      </c>
      <c r="AG11">
        <v>0</v>
      </c>
      <c r="AH11">
        <v>1</v>
      </c>
      <c r="AI11">
        <f>AJ11*ledd!$B$2+AK11*ledd!$B$3+AL11*ledd!$B$4+AM11*ledd!$B$5+AN11*ledd!$B$6+AO11*ledd!$B$7+AP11*ledd!$B$8+AQ11*ledd!$B$9+AR11*ledd!$B$10+AS11*ledd!$B$11+AT11*ledd!$B$12+AU11*ledd!$B$13+AV11*ledd!$B$14+AW11*ledd!$B$15+AX11*ledd!$B$16</f>
        <v>550</v>
      </c>
      <c r="AJ11">
        <v>400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150</v>
      </c>
      <c r="AW11">
        <v>0</v>
      </c>
      <c r="AX11">
        <v>0</v>
      </c>
      <c r="AY11">
        <v>3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2</v>
      </c>
      <c r="BF11" s="3">
        <v>1</v>
      </c>
      <c r="BG11" s="3">
        <v>0</v>
      </c>
      <c r="BH11" s="3">
        <v>0</v>
      </c>
      <c r="BI11" s="3">
        <v>2</v>
      </c>
      <c r="BJ11" s="3">
        <v>0</v>
      </c>
      <c r="BK11" s="3">
        <v>0</v>
      </c>
      <c r="BL11" s="3">
        <v>0</v>
      </c>
      <c r="BM11" s="3">
        <v>3</v>
      </c>
      <c r="BN11" s="3">
        <v>0</v>
      </c>
      <c r="BO11" s="3">
        <v>2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1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1</v>
      </c>
      <c r="CD11" s="3">
        <v>2</v>
      </c>
      <c r="CE11" s="3">
        <v>2</v>
      </c>
      <c r="CF11" s="3">
        <v>0</v>
      </c>
      <c r="CG11" s="3">
        <v>0</v>
      </c>
      <c r="CH11" s="3">
        <v>0</v>
      </c>
      <c r="CI11" s="3">
        <v>0</v>
      </c>
      <c r="CJ11" s="3">
        <v>1</v>
      </c>
      <c r="CK11" s="3">
        <v>0</v>
      </c>
      <c r="CL11" s="3">
        <v>0</v>
      </c>
      <c r="CM11" s="3">
        <f t="shared" si="7"/>
        <v>12.5</v>
      </c>
      <c r="CN11" s="3">
        <f t="shared" si="8"/>
        <v>20.833333333333332</v>
      </c>
      <c r="CO11" s="3">
        <f t="shared" si="9"/>
        <v>0</v>
      </c>
      <c r="CP11" s="3">
        <f t="shared" si="10"/>
        <v>6.25</v>
      </c>
      <c r="CQ11" s="3">
        <f t="shared" si="11"/>
        <v>0</v>
      </c>
      <c r="CR11" s="3">
        <f t="shared" si="12"/>
        <v>31.25</v>
      </c>
      <c r="CS11">
        <f t="shared" si="13"/>
        <v>0</v>
      </c>
      <c r="CT11">
        <f t="shared" si="14"/>
        <v>8.3333333333333339</v>
      </c>
      <c r="CU11">
        <f t="shared" si="15"/>
        <v>9.8958333333333321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f t="shared" si="2"/>
        <v>2</v>
      </c>
      <c r="DL11">
        <v>0</v>
      </c>
      <c r="DM11">
        <v>1</v>
      </c>
      <c r="DN11">
        <v>0</v>
      </c>
      <c r="DO11">
        <v>0</v>
      </c>
      <c r="DP11">
        <v>0</v>
      </c>
      <c r="DQ11">
        <v>0</v>
      </c>
      <c r="DR11">
        <v>2</v>
      </c>
      <c r="DS11">
        <v>0</v>
      </c>
      <c r="DT11">
        <v>0</v>
      </c>
      <c r="DU11">
        <v>2</v>
      </c>
      <c r="DV11">
        <v>0</v>
      </c>
      <c r="DW11">
        <v>0</v>
      </c>
      <c r="DX11">
        <v>1</v>
      </c>
      <c r="DY11">
        <f t="shared" si="16"/>
        <v>6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1</v>
      </c>
      <c r="ET11">
        <v>0</v>
      </c>
      <c r="EU11">
        <v>0</v>
      </c>
      <c r="EV11">
        <v>0</v>
      </c>
      <c r="EW11">
        <v>0</v>
      </c>
      <c r="EX11">
        <v>2</v>
      </c>
      <c r="EY11">
        <v>0</v>
      </c>
      <c r="EZ11">
        <v>2</v>
      </c>
      <c r="FA11">
        <v>0</v>
      </c>
      <c r="FB11">
        <v>2</v>
      </c>
      <c r="FC11">
        <v>0</v>
      </c>
      <c r="FD11">
        <v>0</v>
      </c>
      <c r="FE11">
        <v>0</v>
      </c>
      <c r="FF11">
        <v>3</v>
      </c>
      <c r="FG11">
        <f t="shared" si="3"/>
        <v>10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f t="shared" si="4"/>
        <v>0</v>
      </c>
      <c r="FO11">
        <f t="shared" si="17"/>
        <v>18</v>
      </c>
      <c r="FP11">
        <v>4</v>
      </c>
      <c r="FQ11">
        <v>5</v>
      </c>
      <c r="FR11">
        <v>3</v>
      </c>
      <c r="FS11">
        <v>6</v>
      </c>
      <c r="FT11">
        <v>3</v>
      </c>
      <c r="FU11">
        <v>2</v>
      </c>
      <c r="FV11">
        <v>2</v>
      </c>
      <c r="FW11">
        <v>6</v>
      </c>
      <c r="FX11">
        <f t="shared" si="18"/>
        <v>27</v>
      </c>
      <c r="FY11">
        <v>0</v>
      </c>
      <c r="FZ11">
        <f t="shared" si="6"/>
        <v>3</v>
      </c>
      <c r="GA11">
        <v>0</v>
      </c>
    </row>
    <row r="12" spans="1:183" x14ac:dyDescent="0.2">
      <c r="A12">
        <v>11</v>
      </c>
      <c r="B12">
        <v>1</v>
      </c>
      <c r="C12">
        <v>1</v>
      </c>
      <c r="D12">
        <v>1</v>
      </c>
      <c r="E12" s="2">
        <v>20170</v>
      </c>
      <c r="F12" s="2">
        <v>44368</v>
      </c>
      <c r="G12" s="3">
        <f t="shared" si="0"/>
        <v>66.166666666666671</v>
      </c>
      <c r="H12">
        <v>42</v>
      </c>
      <c r="I12" s="3">
        <f t="shared" si="1"/>
        <v>24.166666666666671</v>
      </c>
      <c r="J12">
        <v>0</v>
      </c>
      <c r="K12">
        <v>1</v>
      </c>
      <c r="L12">
        <v>0</v>
      </c>
      <c r="M12">
        <v>0</v>
      </c>
      <c r="N12">
        <v>2</v>
      </c>
      <c r="O12">
        <v>2</v>
      </c>
      <c r="P12">
        <v>1</v>
      </c>
      <c r="Q12">
        <v>3</v>
      </c>
      <c r="R12">
        <v>2</v>
      </c>
      <c r="S12">
        <v>1</v>
      </c>
      <c r="T12">
        <v>1</v>
      </c>
      <c r="U12">
        <v>0</v>
      </c>
      <c r="V12">
        <v>1</v>
      </c>
      <c r="W12">
        <v>1</v>
      </c>
      <c r="X12">
        <v>2</v>
      </c>
      <c r="Y12">
        <v>1</v>
      </c>
      <c r="Z12">
        <v>0</v>
      </c>
      <c r="AA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0</v>
      </c>
      <c r="AI12">
        <f>AJ12*ledd!$B$2+AK12*ledd!$B$3+AL12*ledd!$B$4+AM12*ledd!$B$5+AN12*ledd!$B$6+AO12*ledd!$B$7+AP12*ledd!$B$8+AQ12*ledd!$B$9+AR12*ledd!$B$10+AS12*ledd!$B$11+AT12*ledd!$B$12+AU12*ledd!$B$13+AV12*ledd!$B$14+AW12*ledd!$B$15+AX12*ledd!$B$16</f>
        <v>819</v>
      </c>
      <c r="AJ12">
        <v>75</v>
      </c>
      <c r="AK12">
        <v>200</v>
      </c>
      <c r="AL12">
        <v>800</v>
      </c>
      <c r="AM12">
        <v>0</v>
      </c>
      <c r="AN12">
        <v>0</v>
      </c>
      <c r="AO12">
        <v>0</v>
      </c>
      <c r="AP12">
        <v>6</v>
      </c>
      <c r="AQ12">
        <v>0</v>
      </c>
      <c r="AR12">
        <v>0</v>
      </c>
      <c r="AS12">
        <v>0</v>
      </c>
      <c r="AT12">
        <v>50</v>
      </c>
      <c r="AU12">
        <v>0</v>
      </c>
      <c r="AV12">
        <v>0</v>
      </c>
      <c r="AW12">
        <v>100</v>
      </c>
      <c r="AX12">
        <v>0</v>
      </c>
      <c r="AY12">
        <v>5</v>
      </c>
      <c r="AZ12" s="3">
        <v>3</v>
      </c>
      <c r="BA12" s="3">
        <v>0</v>
      </c>
      <c r="BB12" s="3">
        <v>2</v>
      </c>
      <c r="BC12" s="3">
        <v>4</v>
      </c>
      <c r="BD12" s="3">
        <v>0</v>
      </c>
      <c r="BE12" s="3">
        <v>3</v>
      </c>
      <c r="BF12" s="3">
        <v>0</v>
      </c>
      <c r="BG12" s="3">
        <v>3</v>
      </c>
      <c r="BH12" s="3">
        <v>0</v>
      </c>
      <c r="BI12" s="3">
        <v>3</v>
      </c>
      <c r="BJ12" s="3">
        <v>0</v>
      </c>
      <c r="BK12" s="3">
        <v>3</v>
      </c>
      <c r="BL12" s="3">
        <v>2</v>
      </c>
      <c r="BM12" s="3">
        <v>4</v>
      </c>
      <c r="BN12" s="3">
        <v>1</v>
      </c>
      <c r="BO12" s="3">
        <v>0</v>
      </c>
      <c r="BP12" s="3">
        <v>1</v>
      </c>
      <c r="BQ12" s="3">
        <v>0</v>
      </c>
      <c r="BR12" s="3">
        <v>1</v>
      </c>
      <c r="BS12" s="3">
        <v>1</v>
      </c>
      <c r="BT12" s="3">
        <v>0</v>
      </c>
      <c r="BU12" s="3">
        <v>0</v>
      </c>
      <c r="BV12" s="3">
        <v>0</v>
      </c>
      <c r="BW12" s="3">
        <v>3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3</v>
      </c>
      <c r="CE12" s="3">
        <v>2</v>
      </c>
      <c r="CF12" s="3">
        <v>4</v>
      </c>
      <c r="CG12" s="3">
        <v>3</v>
      </c>
      <c r="CH12" s="3">
        <v>2</v>
      </c>
      <c r="CI12" s="3">
        <v>0</v>
      </c>
      <c r="CJ12" s="3">
        <v>2</v>
      </c>
      <c r="CK12" s="3">
        <v>0</v>
      </c>
      <c r="CL12" s="3">
        <v>0</v>
      </c>
      <c r="CM12" s="3">
        <f t="shared" si="7"/>
        <v>45</v>
      </c>
      <c r="CN12" s="3">
        <f t="shared" si="8"/>
        <v>41.666666666666664</v>
      </c>
      <c r="CO12" s="3">
        <f t="shared" si="9"/>
        <v>12.5</v>
      </c>
      <c r="CP12" s="3">
        <f t="shared" si="10"/>
        <v>18.75</v>
      </c>
      <c r="CQ12" s="3">
        <f t="shared" si="11"/>
        <v>0</v>
      </c>
      <c r="CR12" s="3">
        <f t="shared" si="12"/>
        <v>56.25</v>
      </c>
      <c r="CS12">
        <f t="shared" si="13"/>
        <v>41.666666666666664</v>
      </c>
      <c r="CT12">
        <f t="shared" si="14"/>
        <v>16.666666666666668</v>
      </c>
      <c r="CU12">
        <f t="shared" si="15"/>
        <v>29.062499999999996</v>
      </c>
      <c r="CV12">
        <v>2</v>
      </c>
      <c r="CW12">
        <v>2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2</v>
      </c>
      <c r="DD12">
        <v>0</v>
      </c>
      <c r="DE12">
        <v>0</v>
      </c>
      <c r="DF12">
        <v>0</v>
      </c>
      <c r="DG12">
        <v>3</v>
      </c>
      <c r="DH12">
        <v>1</v>
      </c>
      <c r="DI12">
        <v>0</v>
      </c>
      <c r="DJ12">
        <v>0</v>
      </c>
      <c r="DK12">
        <f t="shared" si="2"/>
        <v>10</v>
      </c>
      <c r="DL12">
        <v>2</v>
      </c>
      <c r="DM12">
        <v>3</v>
      </c>
      <c r="DN12">
        <v>1</v>
      </c>
      <c r="DO12">
        <v>1</v>
      </c>
      <c r="DP12">
        <v>2</v>
      </c>
      <c r="DQ12">
        <v>0</v>
      </c>
      <c r="DR12">
        <v>4</v>
      </c>
      <c r="DS12">
        <v>3</v>
      </c>
      <c r="DT12">
        <v>1</v>
      </c>
      <c r="DU12">
        <v>0</v>
      </c>
      <c r="DV12">
        <v>0</v>
      </c>
      <c r="DW12">
        <v>2</v>
      </c>
      <c r="DX12">
        <v>1</v>
      </c>
      <c r="DY12">
        <f t="shared" si="16"/>
        <v>20</v>
      </c>
      <c r="DZ12">
        <v>2</v>
      </c>
      <c r="EA12">
        <v>1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2</v>
      </c>
      <c r="ES12">
        <v>1</v>
      </c>
      <c r="ET12">
        <v>0</v>
      </c>
      <c r="EU12">
        <v>2</v>
      </c>
      <c r="EV12">
        <v>1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f t="shared" si="3"/>
        <v>10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f t="shared" si="4"/>
        <v>0</v>
      </c>
      <c r="FO12">
        <f t="shared" si="17"/>
        <v>40</v>
      </c>
      <c r="FP12">
        <v>6</v>
      </c>
      <c r="FQ12">
        <v>5</v>
      </c>
      <c r="FR12">
        <v>3</v>
      </c>
      <c r="FS12">
        <v>6</v>
      </c>
      <c r="FT12">
        <v>3</v>
      </c>
      <c r="FU12">
        <v>2</v>
      </c>
      <c r="FV12">
        <v>4</v>
      </c>
      <c r="FW12">
        <v>6</v>
      </c>
      <c r="FX12">
        <f t="shared" si="18"/>
        <v>29</v>
      </c>
      <c r="FY12">
        <v>1</v>
      </c>
      <c r="FZ12">
        <f t="shared" si="6"/>
        <v>3</v>
      </c>
      <c r="GA12">
        <v>1</v>
      </c>
    </row>
    <row r="13" spans="1:183" x14ac:dyDescent="0.2">
      <c r="A13">
        <v>12</v>
      </c>
      <c r="B13">
        <v>1</v>
      </c>
      <c r="C13">
        <v>1</v>
      </c>
      <c r="D13">
        <v>1</v>
      </c>
      <c r="E13" s="2">
        <v>19219</v>
      </c>
      <c r="F13" s="2">
        <v>44370</v>
      </c>
      <c r="G13" s="3">
        <f t="shared" si="0"/>
        <v>68.833333333333329</v>
      </c>
      <c r="H13">
        <v>57</v>
      </c>
      <c r="I13" s="3">
        <f t="shared" si="1"/>
        <v>11.833333333333329</v>
      </c>
      <c r="J13">
        <v>0</v>
      </c>
      <c r="K13">
        <v>1</v>
      </c>
      <c r="L13">
        <v>0</v>
      </c>
      <c r="M13">
        <v>0</v>
      </c>
      <c r="N13">
        <v>2</v>
      </c>
      <c r="O13">
        <v>0</v>
      </c>
      <c r="P13">
        <v>2</v>
      </c>
      <c r="Q13">
        <v>2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2</v>
      </c>
      <c r="Y13">
        <v>2</v>
      </c>
      <c r="Z13">
        <v>0</v>
      </c>
      <c r="AA13">
        <v>0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0</v>
      </c>
      <c r="AI13">
        <f>AJ13*ledd!$B$2+AK13*ledd!$B$3+AL13*ledd!$B$4+AM13*ledd!$B$5+AN13*ledd!$B$6+AO13*ledd!$B$7+AP13*ledd!$B$8+AQ13*ledd!$B$9+AR13*ledd!$B$10+AS13*ledd!$B$11+AT13*ledd!$B$12+AU13*ledd!$B$13+AV13*ledd!$B$14+AW13*ledd!$B$15+AX13*ledd!$B$16</f>
        <v>350</v>
      </c>
      <c r="AJ13">
        <v>200</v>
      </c>
      <c r="AK13">
        <v>200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5</v>
      </c>
      <c r="AZ13" s="3">
        <v>2</v>
      </c>
      <c r="BA13" s="3">
        <v>0</v>
      </c>
      <c r="BB13" s="3">
        <v>1</v>
      </c>
      <c r="BC13" s="3">
        <v>0</v>
      </c>
      <c r="BD13" s="3">
        <v>0</v>
      </c>
      <c r="BE13" s="3">
        <v>0</v>
      </c>
      <c r="BF13" s="3">
        <v>2</v>
      </c>
      <c r="BG13" s="3">
        <v>0</v>
      </c>
      <c r="BH13" s="3">
        <v>0</v>
      </c>
      <c r="BI13" s="3">
        <v>1</v>
      </c>
      <c r="BJ13" s="3">
        <v>0</v>
      </c>
      <c r="BK13" s="3">
        <v>0</v>
      </c>
      <c r="BL13" s="3">
        <v>0</v>
      </c>
      <c r="BM13" s="3">
        <v>3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2</v>
      </c>
      <c r="CE13" s="3">
        <v>0</v>
      </c>
      <c r="CF13" s="3">
        <v>2</v>
      </c>
      <c r="CG13" s="3">
        <v>0</v>
      </c>
      <c r="CH13" s="3">
        <v>0</v>
      </c>
      <c r="CI13" s="3">
        <v>0</v>
      </c>
      <c r="CJ13" s="3">
        <v>0</v>
      </c>
      <c r="CK13" s="3">
        <v>4</v>
      </c>
      <c r="CL13" s="3">
        <v>0</v>
      </c>
      <c r="CM13" s="3">
        <f t="shared" si="7"/>
        <v>15</v>
      </c>
      <c r="CN13" s="3">
        <f t="shared" si="8"/>
        <v>12.5</v>
      </c>
      <c r="CO13" s="3">
        <f t="shared" si="9"/>
        <v>0</v>
      </c>
      <c r="CP13" s="3">
        <f t="shared" si="10"/>
        <v>0</v>
      </c>
      <c r="CQ13" s="3">
        <f t="shared" si="11"/>
        <v>0</v>
      </c>
      <c r="CR13" s="3">
        <f t="shared" si="12"/>
        <v>25</v>
      </c>
      <c r="CS13">
        <f t="shared" si="13"/>
        <v>0</v>
      </c>
      <c r="CT13">
        <f t="shared" si="14"/>
        <v>33.333333333333336</v>
      </c>
      <c r="CU13">
        <f t="shared" si="15"/>
        <v>10.729166666666668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2</v>
      </c>
      <c r="DF13">
        <v>0</v>
      </c>
      <c r="DG13">
        <v>0</v>
      </c>
      <c r="DH13">
        <v>1</v>
      </c>
      <c r="DI13">
        <v>1</v>
      </c>
      <c r="DJ13">
        <v>0</v>
      </c>
      <c r="DK13">
        <f t="shared" si="2"/>
        <v>4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3</v>
      </c>
      <c r="DS13">
        <v>3</v>
      </c>
      <c r="DT13">
        <v>0</v>
      </c>
      <c r="DU13">
        <v>1</v>
      </c>
      <c r="DV13">
        <v>0</v>
      </c>
      <c r="DW13">
        <v>0</v>
      </c>
      <c r="DX13">
        <v>1</v>
      </c>
      <c r="DY13">
        <f t="shared" si="16"/>
        <v>9</v>
      </c>
      <c r="DZ13">
        <v>0</v>
      </c>
      <c r="EA13">
        <v>1</v>
      </c>
      <c r="EB13">
        <v>0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2</v>
      </c>
      <c r="EN13">
        <v>1</v>
      </c>
      <c r="EO13">
        <v>2</v>
      </c>
      <c r="EP13">
        <v>1</v>
      </c>
      <c r="EQ13">
        <v>0</v>
      </c>
      <c r="ER13">
        <v>1</v>
      </c>
      <c r="ES13">
        <v>1</v>
      </c>
      <c r="ET13">
        <v>1</v>
      </c>
      <c r="EU13">
        <v>1</v>
      </c>
      <c r="EV13">
        <v>2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f t="shared" si="3"/>
        <v>23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4</v>
      </c>
      <c r="FN13">
        <f t="shared" si="4"/>
        <v>9</v>
      </c>
      <c r="FO13">
        <f t="shared" si="17"/>
        <v>45</v>
      </c>
      <c r="FP13">
        <v>6</v>
      </c>
      <c r="FQ13">
        <v>3</v>
      </c>
      <c r="FR13">
        <v>3</v>
      </c>
      <c r="FS13">
        <v>6</v>
      </c>
      <c r="FT13">
        <v>2</v>
      </c>
      <c r="FU13">
        <v>2</v>
      </c>
      <c r="FV13">
        <v>4</v>
      </c>
      <c r="FW13">
        <v>6</v>
      </c>
      <c r="FX13">
        <f t="shared" si="18"/>
        <v>26</v>
      </c>
      <c r="FY13">
        <v>0</v>
      </c>
      <c r="FZ13">
        <f t="shared" si="6"/>
        <v>2</v>
      </c>
      <c r="GA13">
        <v>1</v>
      </c>
    </row>
    <row r="14" spans="1:183" x14ac:dyDescent="0.2">
      <c r="A14">
        <v>13</v>
      </c>
      <c r="B14">
        <v>1</v>
      </c>
      <c r="C14">
        <v>1</v>
      </c>
      <c r="D14">
        <v>0</v>
      </c>
      <c r="E14" s="2">
        <v>22915</v>
      </c>
      <c r="F14" s="2">
        <v>44371</v>
      </c>
      <c r="G14" s="3">
        <f t="shared" si="0"/>
        <v>58.666666666666664</v>
      </c>
      <c r="H14">
        <v>50</v>
      </c>
      <c r="I14" s="3">
        <f t="shared" si="1"/>
        <v>8.6666666666666643</v>
      </c>
      <c r="J14">
        <v>0</v>
      </c>
      <c r="K14">
        <v>1</v>
      </c>
      <c r="L14">
        <v>2</v>
      </c>
      <c r="M14">
        <v>0</v>
      </c>
      <c r="N14">
        <v>2</v>
      </c>
      <c r="O14">
        <v>1</v>
      </c>
      <c r="P14">
        <v>1</v>
      </c>
      <c r="Q14">
        <v>4</v>
      </c>
      <c r="R14">
        <v>3</v>
      </c>
      <c r="S14">
        <v>0</v>
      </c>
      <c r="T14">
        <v>0</v>
      </c>
      <c r="U14">
        <v>0</v>
      </c>
      <c r="V14">
        <v>1</v>
      </c>
      <c r="W14">
        <v>1</v>
      </c>
      <c r="X14">
        <v>2</v>
      </c>
      <c r="Y14">
        <v>2</v>
      </c>
      <c r="Z14">
        <v>0</v>
      </c>
      <c r="AA14">
        <v>0</v>
      </c>
      <c r="AC14" s="5">
        <v>0</v>
      </c>
      <c r="AD14" s="5">
        <v>0</v>
      </c>
      <c r="AE14">
        <v>1</v>
      </c>
      <c r="AF14">
        <v>0</v>
      </c>
      <c r="AG14">
        <v>0</v>
      </c>
      <c r="AH14">
        <v>0</v>
      </c>
      <c r="AI14">
        <f>AJ14*ledd!$B$2+AK14*ledd!$B$3+AL14*ledd!$B$4+AM14*ledd!$B$5+AN14*ledd!$B$6+AO14*ledd!$B$7+AP14*ledd!$B$8+AQ14*ledd!$B$9+AR14*ledd!$B$10+AS14*ledd!$B$11+AT14*ledd!$B$12+AU14*ledd!$B$13+AV14*ledd!$B$14+AW14*ledd!$B$15+AX14*ledd!$B$16</f>
        <v>1341.5</v>
      </c>
      <c r="AJ14">
        <v>475</v>
      </c>
      <c r="AK14">
        <v>200</v>
      </c>
      <c r="AL14">
        <v>0</v>
      </c>
      <c r="AM14">
        <v>0</v>
      </c>
      <c r="AN14">
        <v>0</v>
      </c>
      <c r="AO14">
        <v>20</v>
      </c>
      <c r="AP14">
        <v>0</v>
      </c>
      <c r="AQ14">
        <v>0</v>
      </c>
      <c r="AR14">
        <v>0</v>
      </c>
      <c r="AS14">
        <v>0</v>
      </c>
      <c r="AT14">
        <v>200</v>
      </c>
      <c r="AU14">
        <v>0</v>
      </c>
      <c r="AV14">
        <v>0</v>
      </c>
      <c r="AW14">
        <v>100</v>
      </c>
      <c r="AX14">
        <v>50</v>
      </c>
      <c r="AY14">
        <v>6</v>
      </c>
      <c r="AZ14" s="3">
        <v>3</v>
      </c>
      <c r="BA14" s="3">
        <v>3</v>
      </c>
      <c r="BB14" s="3">
        <v>4</v>
      </c>
      <c r="BC14" s="3">
        <v>4</v>
      </c>
      <c r="BD14" s="3">
        <v>2</v>
      </c>
      <c r="BE14" s="3">
        <v>3</v>
      </c>
      <c r="BF14" s="3">
        <v>3</v>
      </c>
      <c r="BG14" s="3">
        <v>3</v>
      </c>
      <c r="BH14" s="3">
        <v>3</v>
      </c>
      <c r="BI14" s="3">
        <v>3</v>
      </c>
      <c r="BJ14" s="3">
        <v>3</v>
      </c>
      <c r="BK14" s="3">
        <v>3</v>
      </c>
      <c r="BL14" s="3">
        <v>3</v>
      </c>
      <c r="BM14" s="3">
        <v>3</v>
      </c>
      <c r="BN14" s="3">
        <v>3</v>
      </c>
      <c r="BO14" s="3">
        <v>0</v>
      </c>
      <c r="BP14" s="3">
        <v>3</v>
      </c>
      <c r="BQ14" s="3">
        <v>0</v>
      </c>
      <c r="BR14" s="3">
        <v>2</v>
      </c>
      <c r="BS14" s="3">
        <v>2</v>
      </c>
      <c r="BT14" s="3">
        <v>2</v>
      </c>
      <c r="BU14" s="3">
        <v>3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2</v>
      </c>
      <c r="CE14" s="3">
        <v>2</v>
      </c>
      <c r="CF14" s="3">
        <v>3</v>
      </c>
      <c r="CG14" s="3">
        <v>0</v>
      </c>
      <c r="CH14" s="3">
        <v>0</v>
      </c>
      <c r="CI14" s="3">
        <v>0</v>
      </c>
      <c r="CJ14" s="3">
        <v>4</v>
      </c>
      <c r="CK14" s="3">
        <v>4</v>
      </c>
      <c r="CL14" s="3">
        <v>4</v>
      </c>
      <c r="CM14" s="3">
        <f t="shared" si="7"/>
        <v>77.5</v>
      </c>
      <c r="CN14" s="3">
        <f t="shared" si="8"/>
        <v>62.5</v>
      </c>
      <c r="CO14" s="3">
        <f t="shared" si="9"/>
        <v>50</v>
      </c>
      <c r="CP14" s="3">
        <f t="shared" si="10"/>
        <v>0</v>
      </c>
      <c r="CQ14" s="3">
        <f t="shared" si="11"/>
        <v>0</v>
      </c>
      <c r="CR14" s="3">
        <f t="shared" si="12"/>
        <v>43.75</v>
      </c>
      <c r="CS14">
        <f t="shared" si="13"/>
        <v>0</v>
      </c>
      <c r="CT14">
        <f t="shared" si="14"/>
        <v>100</v>
      </c>
      <c r="CU14">
        <f t="shared" si="15"/>
        <v>41.71875</v>
      </c>
      <c r="CV14">
        <v>0</v>
      </c>
      <c r="CW14">
        <v>1</v>
      </c>
      <c r="CX14">
        <v>0</v>
      </c>
      <c r="CY14">
        <v>0</v>
      </c>
      <c r="CZ14">
        <v>0</v>
      </c>
      <c r="DA14">
        <v>1</v>
      </c>
      <c r="DB14">
        <v>0</v>
      </c>
      <c r="DC14">
        <v>3</v>
      </c>
      <c r="DD14">
        <v>0</v>
      </c>
      <c r="DE14">
        <v>4</v>
      </c>
      <c r="DF14">
        <v>1</v>
      </c>
      <c r="DG14">
        <v>2</v>
      </c>
      <c r="DH14">
        <v>2</v>
      </c>
      <c r="DI14">
        <v>0</v>
      </c>
      <c r="DJ14">
        <v>0</v>
      </c>
      <c r="DK14">
        <f t="shared" si="2"/>
        <v>14</v>
      </c>
      <c r="DL14">
        <v>2</v>
      </c>
      <c r="DM14">
        <v>0</v>
      </c>
      <c r="DN14">
        <v>0</v>
      </c>
      <c r="DO14">
        <v>1</v>
      </c>
      <c r="DP14">
        <v>3</v>
      </c>
      <c r="DQ14">
        <v>3</v>
      </c>
      <c r="DR14">
        <v>3</v>
      </c>
      <c r="DS14">
        <v>3</v>
      </c>
      <c r="DT14">
        <v>3</v>
      </c>
      <c r="DU14">
        <v>0</v>
      </c>
      <c r="DV14">
        <v>3</v>
      </c>
      <c r="DW14">
        <v>3</v>
      </c>
      <c r="DX14">
        <v>3</v>
      </c>
      <c r="DY14">
        <f t="shared" si="16"/>
        <v>27</v>
      </c>
      <c r="DZ14">
        <v>1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3</v>
      </c>
      <c r="ES14">
        <v>1</v>
      </c>
      <c r="ET14">
        <v>1</v>
      </c>
      <c r="EU14">
        <v>3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f t="shared" si="3"/>
        <v>9</v>
      </c>
      <c r="FH14">
        <v>0</v>
      </c>
      <c r="FI14">
        <v>0</v>
      </c>
      <c r="FJ14">
        <v>2</v>
      </c>
      <c r="FK14">
        <v>0</v>
      </c>
      <c r="FL14">
        <v>0</v>
      </c>
      <c r="FM14">
        <v>4</v>
      </c>
      <c r="FN14">
        <f t="shared" si="4"/>
        <v>6</v>
      </c>
      <c r="FO14">
        <f t="shared" si="17"/>
        <v>56</v>
      </c>
      <c r="FP14">
        <v>9</v>
      </c>
      <c r="FQ14">
        <v>5</v>
      </c>
      <c r="FR14">
        <v>3</v>
      </c>
      <c r="FS14">
        <v>5</v>
      </c>
      <c r="FT14">
        <v>3</v>
      </c>
      <c r="FU14">
        <v>2</v>
      </c>
      <c r="FV14">
        <v>5</v>
      </c>
      <c r="FW14">
        <v>6</v>
      </c>
      <c r="FX14">
        <f t="shared" si="18"/>
        <v>29</v>
      </c>
      <c r="FY14">
        <v>0</v>
      </c>
      <c r="FZ14">
        <f t="shared" si="6"/>
        <v>1</v>
      </c>
      <c r="GA14">
        <v>1</v>
      </c>
    </row>
    <row r="15" spans="1:183" x14ac:dyDescent="0.2">
      <c r="A15">
        <v>14</v>
      </c>
      <c r="B15">
        <v>1</v>
      </c>
      <c r="C15">
        <v>1</v>
      </c>
      <c r="D15">
        <v>0</v>
      </c>
      <c r="E15" s="2">
        <v>18735</v>
      </c>
      <c r="F15" s="2">
        <v>44375</v>
      </c>
      <c r="G15" s="3">
        <f t="shared" si="0"/>
        <v>70.166666666666671</v>
      </c>
      <c r="H15">
        <v>53</v>
      </c>
      <c r="I15" s="3">
        <f t="shared" si="1"/>
        <v>17.166666666666671</v>
      </c>
      <c r="J15">
        <v>0</v>
      </c>
      <c r="K15">
        <v>3</v>
      </c>
      <c r="L15">
        <v>8</v>
      </c>
      <c r="M15">
        <v>0</v>
      </c>
      <c r="N15">
        <v>2</v>
      </c>
      <c r="O15">
        <v>1</v>
      </c>
      <c r="P15">
        <v>2</v>
      </c>
      <c r="Q15">
        <v>1</v>
      </c>
      <c r="R15">
        <v>1</v>
      </c>
      <c r="S15">
        <v>1</v>
      </c>
      <c r="T15">
        <v>1</v>
      </c>
      <c r="U15">
        <v>0</v>
      </c>
      <c r="V15">
        <v>1</v>
      </c>
      <c r="W15">
        <v>1</v>
      </c>
      <c r="X15">
        <v>3</v>
      </c>
      <c r="Y15">
        <v>3</v>
      </c>
      <c r="Z15">
        <v>0</v>
      </c>
      <c r="AA15">
        <v>1</v>
      </c>
      <c r="AB15">
        <v>0</v>
      </c>
      <c r="AC15">
        <v>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f>AJ15*ledd!$B$2+AK15*ledd!$B$3+AL15*ledd!$B$4+AM15*ledd!$B$5+AN15*ledd!$B$6+AO15*ledd!$B$7+AP15*ledd!$B$8+AQ15*ledd!$B$9+AR15*ledd!$B$10+AS15*ledd!$B$11+AT15*ledd!$B$12+AU15*ledd!$B$13+AV15*ledd!$B$14+AW15*ledd!$B$15+AX15*ledd!$B$16</f>
        <v>1355</v>
      </c>
      <c r="AJ15">
        <v>700</v>
      </c>
      <c r="AK15">
        <v>100</v>
      </c>
      <c r="AL15">
        <v>0</v>
      </c>
      <c r="AM15">
        <v>0</v>
      </c>
      <c r="AN15">
        <v>0</v>
      </c>
      <c r="AO15">
        <v>0</v>
      </c>
      <c r="AP15">
        <v>16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5</v>
      </c>
      <c r="AZ15" s="3">
        <v>3</v>
      </c>
      <c r="BA15" s="3">
        <v>3</v>
      </c>
      <c r="BB15" s="3">
        <v>4</v>
      </c>
      <c r="BC15" s="3">
        <v>3</v>
      </c>
      <c r="BD15" s="3">
        <v>1</v>
      </c>
      <c r="BE15" s="3">
        <v>2</v>
      </c>
      <c r="BF15" s="3">
        <v>1</v>
      </c>
      <c r="BG15" s="3">
        <v>0</v>
      </c>
      <c r="BH15" s="3">
        <v>0</v>
      </c>
      <c r="BI15" s="3">
        <v>0</v>
      </c>
      <c r="BJ15" s="3">
        <v>1</v>
      </c>
      <c r="BK15" s="3">
        <v>2</v>
      </c>
      <c r="BL15" s="3">
        <v>1</v>
      </c>
      <c r="BM15" s="3">
        <v>1</v>
      </c>
      <c r="BN15" s="3">
        <v>0</v>
      </c>
      <c r="BO15" s="3">
        <v>1</v>
      </c>
      <c r="BP15" s="3">
        <v>1</v>
      </c>
      <c r="BQ15" s="3">
        <v>0</v>
      </c>
      <c r="BR15" s="3">
        <v>1</v>
      </c>
      <c r="BS15" s="3">
        <v>1</v>
      </c>
      <c r="BT15" s="3">
        <v>2</v>
      </c>
      <c r="BU15" s="3">
        <v>0</v>
      </c>
      <c r="BV15" s="3">
        <v>0</v>
      </c>
      <c r="BW15" s="3">
        <v>2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1</v>
      </c>
      <c r="CG15" s="3">
        <v>0</v>
      </c>
      <c r="CH15" s="3">
        <v>0</v>
      </c>
      <c r="CI15" s="3">
        <v>0</v>
      </c>
      <c r="CJ15" s="3">
        <v>1</v>
      </c>
      <c r="CK15" s="3">
        <v>2</v>
      </c>
      <c r="CL15" s="3">
        <v>0</v>
      </c>
      <c r="CM15" s="3">
        <f t="shared" si="7"/>
        <v>42.5</v>
      </c>
      <c r="CN15" s="3">
        <f t="shared" si="8"/>
        <v>25</v>
      </c>
      <c r="CO15" s="3">
        <f t="shared" si="9"/>
        <v>20.833333333333332</v>
      </c>
      <c r="CP15" s="3">
        <f t="shared" si="10"/>
        <v>12.5</v>
      </c>
      <c r="CQ15" s="3">
        <f t="shared" si="11"/>
        <v>0</v>
      </c>
      <c r="CR15" s="3">
        <f t="shared" si="12"/>
        <v>6.25</v>
      </c>
      <c r="CS15">
        <f t="shared" si="13"/>
        <v>0</v>
      </c>
      <c r="CT15">
        <f t="shared" si="14"/>
        <v>25</v>
      </c>
      <c r="CU15">
        <f t="shared" si="15"/>
        <v>16.510416666666664</v>
      </c>
      <c r="CV15">
        <v>0</v>
      </c>
      <c r="CW15">
        <v>1</v>
      </c>
      <c r="CX15">
        <v>1</v>
      </c>
      <c r="CY15">
        <v>0</v>
      </c>
      <c r="CZ15">
        <v>0</v>
      </c>
      <c r="DA15">
        <v>2</v>
      </c>
      <c r="DB15">
        <v>0</v>
      </c>
      <c r="DC15">
        <v>4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0</v>
      </c>
      <c r="DK15">
        <f t="shared" si="2"/>
        <v>9</v>
      </c>
      <c r="DL15">
        <v>0</v>
      </c>
      <c r="DM15">
        <v>1</v>
      </c>
      <c r="DN15">
        <v>0</v>
      </c>
      <c r="DO15">
        <v>0</v>
      </c>
      <c r="DP15">
        <v>1</v>
      </c>
      <c r="DQ15">
        <v>1</v>
      </c>
      <c r="DR15">
        <v>0</v>
      </c>
      <c r="DS15">
        <v>1</v>
      </c>
      <c r="DT15">
        <v>2</v>
      </c>
      <c r="DU15">
        <v>2</v>
      </c>
      <c r="DV15">
        <v>2</v>
      </c>
      <c r="DW15">
        <v>1</v>
      </c>
      <c r="DX15">
        <v>1</v>
      </c>
      <c r="DY15">
        <f t="shared" si="16"/>
        <v>12</v>
      </c>
      <c r="DZ15">
        <v>0</v>
      </c>
      <c r="EA15">
        <v>1</v>
      </c>
      <c r="EB15">
        <v>0</v>
      </c>
      <c r="EC15">
        <v>1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1</v>
      </c>
      <c r="EU15">
        <v>1</v>
      </c>
      <c r="EV15">
        <v>1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f t="shared" si="3"/>
        <v>7</v>
      </c>
      <c r="FH15">
        <v>0</v>
      </c>
      <c r="FI15">
        <v>0</v>
      </c>
      <c r="FJ15">
        <v>1</v>
      </c>
      <c r="FK15">
        <v>1</v>
      </c>
      <c r="FL15">
        <v>3</v>
      </c>
      <c r="FM15">
        <v>0</v>
      </c>
      <c r="FN15">
        <f t="shared" si="4"/>
        <v>5</v>
      </c>
      <c r="FO15">
        <f t="shared" si="17"/>
        <v>33</v>
      </c>
      <c r="FP15">
        <v>6</v>
      </c>
      <c r="FQ15">
        <v>3</v>
      </c>
      <c r="FR15">
        <v>3</v>
      </c>
      <c r="FS15">
        <v>6</v>
      </c>
      <c r="FT15">
        <v>3</v>
      </c>
      <c r="FU15">
        <v>2</v>
      </c>
      <c r="FV15">
        <v>4</v>
      </c>
      <c r="FW15">
        <v>6</v>
      </c>
      <c r="FX15">
        <f t="shared" si="18"/>
        <v>27</v>
      </c>
      <c r="FY15">
        <v>0</v>
      </c>
      <c r="FZ15">
        <f t="shared" si="6"/>
        <v>3</v>
      </c>
      <c r="GA15">
        <v>1</v>
      </c>
    </row>
    <row r="16" spans="1:183" x14ac:dyDescent="0.2">
      <c r="A16">
        <v>15</v>
      </c>
      <c r="B16">
        <v>1</v>
      </c>
      <c r="C16">
        <v>1</v>
      </c>
      <c r="D16">
        <v>0</v>
      </c>
      <c r="E16" s="2">
        <v>19966</v>
      </c>
      <c r="F16" s="2">
        <v>44379</v>
      </c>
      <c r="G16" s="3">
        <f t="shared" si="0"/>
        <v>66.833333333333329</v>
      </c>
      <c r="H16">
        <v>56</v>
      </c>
      <c r="I16" s="3">
        <f t="shared" si="1"/>
        <v>10.833333333333329</v>
      </c>
      <c r="J16">
        <v>0</v>
      </c>
      <c r="K16">
        <v>5</v>
      </c>
      <c r="L16">
        <v>1</v>
      </c>
      <c r="M16">
        <v>3</v>
      </c>
      <c r="N16">
        <v>1</v>
      </c>
      <c r="O16">
        <v>2</v>
      </c>
      <c r="P16">
        <v>2</v>
      </c>
      <c r="Q16">
        <v>1</v>
      </c>
      <c r="R16">
        <v>0</v>
      </c>
      <c r="S16">
        <v>1</v>
      </c>
      <c r="T16">
        <v>1</v>
      </c>
      <c r="U16">
        <v>0</v>
      </c>
      <c r="V16">
        <v>1</v>
      </c>
      <c r="W16">
        <v>1</v>
      </c>
      <c r="X16">
        <v>2</v>
      </c>
      <c r="Y16">
        <v>2</v>
      </c>
      <c r="Z16">
        <v>5</v>
      </c>
      <c r="AA16">
        <v>0</v>
      </c>
      <c r="AC16">
        <v>3</v>
      </c>
      <c r="AD16">
        <v>3</v>
      </c>
      <c r="AE16">
        <v>1</v>
      </c>
      <c r="AF16">
        <v>1</v>
      </c>
      <c r="AG16">
        <v>0</v>
      </c>
      <c r="AH16">
        <v>1</v>
      </c>
      <c r="AI16">
        <f>AJ16*ledd!$B$2+AK16*ledd!$B$3+AL16*ledd!$B$4+AM16*ledd!$B$5+AN16*ledd!$B$6+AO16*ledd!$B$7+AP16*ledd!$B$8+AQ16*ledd!$B$9+AR16*ledd!$B$10+AS16*ledd!$B$11+AT16*ledd!$B$12+AU16*ledd!$B$13+AV16*ledd!$B$14+AW16*ledd!$B$15+AX16*ledd!$B$16</f>
        <v>391</v>
      </c>
      <c r="AJ16">
        <v>100</v>
      </c>
      <c r="AK16">
        <v>100</v>
      </c>
      <c r="AL16">
        <v>200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150</v>
      </c>
      <c r="AW16">
        <v>0</v>
      </c>
      <c r="AX16">
        <v>0</v>
      </c>
      <c r="AY16">
        <v>7</v>
      </c>
      <c r="AZ16" s="3">
        <v>4</v>
      </c>
      <c r="BA16" s="3">
        <v>4</v>
      </c>
      <c r="BB16" s="3">
        <v>4</v>
      </c>
      <c r="BC16" s="3">
        <v>4</v>
      </c>
      <c r="BD16" s="3">
        <v>4</v>
      </c>
      <c r="BE16" s="3">
        <v>4</v>
      </c>
      <c r="BF16" s="3">
        <v>4</v>
      </c>
      <c r="BG16" s="3">
        <v>4</v>
      </c>
      <c r="BH16" s="3">
        <v>4</v>
      </c>
      <c r="BI16" s="3">
        <v>4</v>
      </c>
      <c r="BJ16" s="3">
        <v>3</v>
      </c>
      <c r="BK16" s="3">
        <v>4</v>
      </c>
      <c r="BL16" s="3">
        <v>4</v>
      </c>
      <c r="BM16" s="3">
        <v>4</v>
      </c>
      <c r="BN16" s="3">
        <v>4</v>
      </c>
      <c r="BO16" s="3">
        <v>1</v>
      </c>
      <c r="BP16" s="3">
        <v>3</v>
      </c>
      <c r="BQ16" s="3">
        <v>0</v>
      </c>
      <c r="BR16" s="3">
        <v>0</v>
      </c>
      <c r="BS16" s="3">
        <v>0</v>
      </c>
      <c r="BT16" s="3">
        <v>2</v>
      </c>
      <c r="BU16" s="3">
        <v>4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1</v>
      </c>
      <c r="CE16" s="3">
        <v>2</v>
      </c>
      <c r="CF16" s="3">
        <v>3</v>
      </c>
      <c r="CG16" s="3">
        <v>0</v>
      </c>
      <c r="CH16" s="3">
        <v>0</v>
      </c>
      <c r="CI16" s="3">
        <v>0</v>
      </c>
      <c r="CJ16" s="3">
        <v>3</v>
      </c>
      <c r="CK16" s="3">
        <v>3</v>
      </c>
      <c r="CL16" s="3">
        <v>1</v>
      </c>
      <c r="CM16" s="3">
        <f t="shared" si="7"/>
        <v>100</v>
      </c>
      <c r="CN16" s="3">
        <f t="shared" si="8"/>
        <v>83.333333333333329</v>
      </c>
      <c r="CO16" s="3">
        <f t="shared" si="9"/>
        <v>37.5</v>
      </c>
      <c r="CP16" s="3">
        <f t="shared" si="10"/>
        <v>0</v>
      </c>
      <c r="CQ16" s="3">
        <f t="shared" si="11"/>
        <v>0</v>
      </c>
      <c r="CR16" s="3">
        <f t="shared" si="12"/>
        <v>37.5</v>
      </c>
      <c r="CS16">
        <f t="shared" si="13"/>
        <v>0</v>
      </c>
      <c r="CT16">
        <f t="shared" si="14"/>
        <v>58.333333333333336</v>
      </c>
      <c r="CU16">
        <f t="shared" si="15"/>
        <v>39.583333333333329</v>
      </c>
      <c r="CV16">
        <v>1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0</v>
      </c>
      <c r="DC16">
        <v>1</v>
      </c>
      <c r="DD16">
        <v>0</v>
      </c>
      <c r="DE16">
        <v>2</v>
      </c>
      <c r="DF16">
        <v>0</v>
      </c>
      <c r="DG16">
        <v>0</v>
      </c>
      <c r="DH16">
        <v>4</v>
      </c>
      <c r="DI16">
        <v>0</v>
      </c>
      <c r="DJ16">
        <v>0</v>
      </c>
      <c r="DK16">
        <f t="shared" si="2"/>
        <v>9</v>
      </c>
      <c r="DL16">
        <v>0</v>
      </c>
      <c r="DM16">
        <v>1</v>
      </c>
      <c r="DN16">
        <v>2</v>
      </c>
      <c r="DO16">
        <v>3</v>
      </c>
      <c r="DP16">
        <v>4</v>
      </c>
      <c r="DQ16">
        <v>4</v>
      </c>
      <c r="DR16">
        <v>4</v>
      </c>
      <c r="DS16">
        <v>4</v>
      </c>
      <c r="DT16">
        <v>4</v>
      </c>
      <c r="DU16">
        <v>0</v>
      </c>
      <c r="DV16">
        <v>4</v>
      </c>
      <c r="DW16">
        <v>4</v>
      </c>
      <c r="DX16">
        <v>4</v>
      </c>
      <c r="DY16">
        <f t="shared" si="16"/>
        <v>38</v>
      </c>
      <c r="DZ16">
        <v>0</v>
      </c>
      <c r="EA16">
        <v>2</v>
      </c>
      <c r="EB16">
        <v>3</v>
      </c>
      <c r="EC16">
        <v>4</v>
      </c>
      <c r="ED16">
        <v>3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4</v>
      </c>
      <c r="EN16">
        <v>4</v>
      </c>
      <c r="EO16">
        <v>4</v>
      </c>
      <c r="EP16">
        <v>4</v>
      </c>
      <c r="EQ16">
        <v>4</v>
      </c>
      <c r="ER16">
        <v>4</v>
      </c>
      <c r="ES16">
        <v>4</v>
      </c>
      <c r="ET16">
        <v>4</v>
      </c>
      <c r="EU16">
        <v>4</v>
      </c>
      <c r="EV16">
        <v>4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f t="shared" si="3"/>
        <v>52</v>
      </c>
      <c r="FH16">
        <v>0</v>
      </c>
      <c r="FI16">
        <v>0</v>
      </c>
      <c r="FJ16">
        <v>1</v>
      </c>
      <c r="FK16">
        <v>4</v>
      </c>
      <c r="FL16">
        <v>1</v>
      </c>
      <c r="FM16">
        <v>4</v>
      </c>
      <c r="FN16">
        <f t="shared" si="4"/>
        <v>10</v>
      </c>
      <c r="FO16">
        <f t="shared" si="17"/>
        <v>109</v>
      </c>
      <c r="FP16">
        <v>9</v>
      </c>
      <c r="FQ16">
        <v>4</v>
      </c>
      <c r="FR16">
        <v>3</v>
      </c>
      <c r="FS16">
        <v>4</v>
      </c>
      <c r="FT16">
        <v>2</v>
      </c>
      <c r="FU16">
        <v>2</v>
      </c>
      <c r="FV16">
        <v>1</v>
      </c>
      <c r="FW16">
        <v>6</v>
      </c>
      <c r="FX16">
        <f t="shared" si="18"/>
        <v>22</v>
      </c>
      <c r="FY16">
        <v>0</v>
      </c>
      <c r="FZ16">
        <f t="shared" si="6"/>
        <v>2</v>
      </c>
      <c r="GA16">
        <v>1</v>
      </c>
    </row>
    <row r="17" spans="1:183" x14ac:dyDescent="0.2">
      <c r="A17">
        <v>16</v>
      </c>
      <c r="B17">
        <v>1</v>
      </c>
      <c r="C17">
        <v>1</v>
      </c>
      <c r="D17">
        <v>0</v>
      </c>
      <c r="E17" s="2">
        <v>19512</v>
      </c>
      <c r="F17" s="2">
        <v>44382</v>
      </c>
      <c r="G17" s="3">
        <f t="shared" si="0"/>
        <v>68.083333333333329</v>
      </c>
      <c r="H17">
        <v>43</v>
      </c>
      <c r="I17" s="3">
        <f t="shared" si="1"/>
        <v>25.083333333333329</v>
      </c>
      <c r="J17">
        <v>0</v>
      </c>
      <c r="K17">
        <v>0</v>
      </c>
      <c r="L17">
        <v>8</v>
      </c>
      <c r="M17">
        <v>0</v>
      </c>
      <c r="N17">
        <v>2</v>
      </c>
      <c r="O17">
        <v>2</v>
      </c>
      <c r="P17">
        <v>0</v>
      </c>
      <c r="Q17">
        <v>4</v>
      </c>
      <c r="R17">
        <v>1</v>
      </c>
      <c r="S17">
        <v>1</v>
      </c>
      <c r="T17">
        <v>1</v>
      </c>
      <c r="U17">
        <v>0</v>
      </c>
      <c r="V17">
        <v>1</v>
      </c>
      <c r="W17">
        <v>1</v>
      </c>
      <c r="X17">
        <v>3</v>
      </c>
      <c r="Y17">
        <v>3</v>
      </c>
      <c r="Z17">
        <v>6</v>
      </c>
      <c r="AA17">
        <v>2</v>
      </c>
      <c r="AB17">
        <v>0</v>
      </c>
      <c r="AC17">
        <v>3</v>
      </c>
      <c r="AD17">
        <v>3</v>
      </c>
      <c r="AE17">
        <v>1</v>
      </c>
      <c r="AF17">
        <v>1</v>
      </c>
      <c r="AG17">
        <v>0</v>
      </c>
      <c r="AH17">
        <v>1</v>
      </c>
      <c r="AI17">
        <f>AJ17*ledd!$B$2+AK17*ledd!$B$3+AL17*ledd!$B$4+AM17*ledd!$B$5+AN17*ledd!$B$6+AO17*ledd!$B$7+AP17*ledd!$B$8+AQ17*ledd!$B$9+AR17*ledd!$B$10+AS17*ledd!$B$11+AT17*ledd!$B$12+AU17*ledd!$B$13+AV17*ledd!$B$14+AW17*ledd!$B$15+AX17*ledd!$B$16</f>
        <v>2208</v>
      </c>
      <c r="AJ17">
        <v>825</v>
      </c>
      <c r="AK17">
        <v>100</v>
      </c>
      <c r="AL17">
        <v>1600</v>
      </c>
      <c r="AM17">
        <v>0</v>
      </c>
      <c r="AN17">
        <v>0</v>
      </c>
      <c r="AO17">
        <v>0</v>
      </c>
      <c r="AP17">
        <v>16</v>
      </c>
      <c r="AQ17">
        <v>0</v>
      </c>
      <c r="AR17">
        <v>0</v>
      </c>
      <c r="AS17">
        <v>0</v>
      </c>
      <c r="AT17">
        <v>300</v>
      </c>
      <c r="AU17">
        <v>0</v>
      </c>
      <c r="AV17">
        <v>0</v>
      </c>
      <c r="AW17">
        <v>0</v>
      </c>
      <c r="AX17">
        <v>0</v>
      </c>
      <c r="AY17">
        <v>4</v>
      </c>
      <c r="AZ17" s="3">
        <v>2</v>
      </c>
      <c r="BA17" s="3">
        <v>3</v>
      </c>
      <c r="BB17" s="3">
        <v>3</v>
      </c>
      <c r="BC17" s="3">
        <v>3</v>
      </c>
      <c r="BD17" s="3">
        <v>1</v>
      </c>
      <c r="BE17" s="3">
        <v>3</v>
      </c>
      <c r="BF17" s="3">
        <v>3</v>
      </c>
      <c r="BG17" s="3">
        <v>0</v>
      </c>
      <c r="BH17" s="3">
        <v>3</v>
      </c>
      <c r="BI17" s="3">
        <v>3</v>
      </c>
      <c r="BJ17" s="3">
        <v>2</v>
      </c>
      <c r="BK17" s="3">
        <v>1</v>
      </c>
      <c r="BL17" s="3">
        <v>2</v>
      </c>
      <c r="BM17" s="3">
        <v>3</v>
      </c>
      <c r="BN17" s="3">
        <v>0</v>
      </c>
      <c r="BO17" s="3">
        <v>0</v>
      </c>
      <c r="BP17" s="3">
        <v>3</v>
      </c>
      <c r="BQ17" s="3">
        <v>3</v>
      </c>
      <c r="BR17" s="3">
        <v>3</v>
      </c>
      <c r="BS17" s="3">
        <v>3</v>
      </c>
      <c r="BT17" s="3">
        <v>2</v>
      </c>
      <c r="BU17" s="3">
        <v>3</v>
      </c>
      <c r="BV17" s="3">
        <v>0</v>
      </c>
      <c r="BW17" s="3">
        <v>0</v>
      </c>
      <c r="BX17" s="3">
        <v>0</v>
      </c>
      <c r="BY17" s="3">
        <v>1</v>
      </c>
      <c r="BZ17" s="3">
        <v>0</v>
      </c>
      <c r="CA17" s="3">
        <v>0</v>
      </c>
      <c r="CB17" s="3">
        <v>0</v>
      </c>
      <c r="CC17" s="3">
        <v>1</v>
      </c>
      <c r="CD17" s="3">
        <v>1</v>
      </c>
      <c r="CE17" s="3">
        <v>1</v>
      </c>
      <c r="CF17" s="3">
        <v>1</v>
      </c>
      <c r="CG17" s="3">
        <v>3</v>
      </c>
      <c r="CH17" s="3">
        <v>2</v>
      </c>
      <c r="CI17" s="3">
        <v>1</v>
      </c>
      <c r="CJ17" s="3">
        <v>1</v>
      </c>
      <c r="CK17" s="3">
        <v>3</v>
      </c>
      <c r="CL17" s="3">
        <v>3</v>
      </c>
      <c r="CM17" s="3">
        <f t="shared" si="7"/>
        <v>60</v>
      </c>
      <c r="CN17" s="3">
        <f t="shared" si="8"/>
        <v>33.333333333333336</v>
      </c>
      <c r="CO17" s="3">
        <f t="shared" si="9"/>
        <v>70.833333333333329</v>
      </c>
      <c r="CP17" s="3">
        <f t="shared" si="10"/>
        <v>6.25</v>
      </c>
      <c r="CQ17" s="3">
        <f t="shared" si="11"/>
        <v>0</v>
      </c>
      <c r="CR17" s="3">
        <f t="shared" si="12"/>
        <v>25</v>
      </c>
      <c r="CS17">
        <f t="shared" si="13"/>
        <v>50</v>
      </c>
      <c r="CT17">
        <f t="shared" si="14"/>
        <v>58.333333333333336</v>
      </c>
      <c r="CU17">
        <f t="shared" si="15"/>
        <v>37.96875</v>
      </c>
      <c r="CV17">
        <v>2</v>
      </c>
      <c r="CW17">
        <v>1</v>
      </c>
      <c r="CX17">
        <v>2</v>
      </c>
      <c r="CY17">
        <v>2</v>
      </c>
      <c r="CZ17">
        <v>3</v>
      </c>
      <c r="DA17">
        <v>0</v>
      </c>
      <c r="DB17">
        <v>0</v>
      </c>
      <c r="DC17">
        <v>3</v>
      </c>
      <c r="DD17">
        <v>1</v>
      </c>
      <c r="DE17">
        <v>3</v>
      </c>
      <c r="DF17">
        <v>3</v>
      </c>
      <c r="DG17">
        <v>1</v>
      </c>
      <c r="DH17">
        <v>0</v>
      </c>
      <c r="DI17">
        <v>1</v>
      </c>
      <c r="DJ17">
        <v>0</v>
      </c>
      <c r="DK17">
        <f t="shared" si="2"/>
        <v>22</v>
      </c>
      <c r="DL17">
        <v>3</v>
      </c>
      <c r="DM17">
        <v>1</v>
      </c>
      <c r="DN17">
        <v>2</v>
      </c>
      <c r="DO17">
        <v>0</v>
      </c>
      <c r="DP17">
        <v>2</v>
      </c>
      <c r="DQ17">
        <v>2</v>
      </c>
      <c r="DR17">
        <v>3</v>
      </c>
      <c r="DS17">
        <v>3</v>
      </c>
      <c r="DT17">
        <v>0</v>
      </c>
      <c r="DU17">
        <v>0</v>
      </c>
      <c r="DV17">
        <v>2</v>
      </c>
      <c r="DW17">
        <v>3</v>
      </c>
      <c r="DX17">
        <v>4</v>
      </c>
      <c r="DY17">
        <f t="shared" si="16"/>
        <v>25</v>
      </c>
      <c r="DZ17">
        <v>3</v>
      </c>
      <c r="EA17">
        <v>3</v>
      </c>
      <c r="EB17">
        <v>3</v>
      </c>
      <c r="EC17">
        <v>3</v>
      </c>
      <c r="ED17">
        <v>2</v>
      </c>
      <c r="EE17">
        <v>2</v>
      </c>
      <c r="EF17">
        <v>1</v>
      </c>
      <c r="EG17">
        <v>1</v>
      </c>
      <c r="EH17">
        <v>1</v>
      </c>
      <c r="EI17">
        <v>3</v>
      </c>
      <c r="EJ17">
        <v>3</v>
      </c>
      <c r="EK17">
        <v>3</v>
      </c>
      <c r="EL17">
        <v>2</v>
      </c>
      <c r="EM17">
        <v>0</v>
      </c>
      <c r="EN17">
        <v>0</v>
      </c>
      <c r="EO17">
        <v>0</v>
      </c>
      <c r="EP17">
        <v>0</v>
      </c>
      <c r="EQ17">
        <v>2</v>
      </c>
      <c r="ER17">
        <v>3</v>
      </c>
      <c r="ES17">
        <v>2</v>
      </c>
      <c r="ET17">
        <v>1</v>
      </c>
      <c r="EU17">
        <v>3</v>
      </c>
      <c r="EV17">
        <v>3</v>
      </c>
      <c r="EW17">
        <v>1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f t="shared" si="3"/>
        <v>45</v>
      </c>
      <c r="FH17">
        <v>1</v>
      </c>
      <c r="FI17">
        <v>2</v>
      </c>
      <c r="FJ17">
        <v>0</v>
      </c>
      <c r="FK17">
        <v>0</v>
      </c>
      <c r="FL17">
        <v>0</v>
      </c>
      <c r="FM17">
        <v>0</v>
      </c>
      <c r="FN17">
        <f t="shared" si="4"/>
        <v>3</v>
      </c>
      <c r="FO17">
        <f t="shared" si="17"/>
        <v>95</v>
      </c>
      <c r="FP17">
        <v>14</v>
      </c>
      <c r="FQ17">
        <v>4</v>
      </c>
      <c r="FR17">
        <v>3</v>
      </c>
      <c r="FS17">
        <v>6</v>
      </c>
      <c r="FT17">
        <v>3</v>
      </c>
      <c r="FU17">
        <v>2</v>
      </c>
      <c r="FV17">
        <v>3</v>
      </c>
      <c r="FW17">
        <v>6</v>
      </c>
      <c r="FX17">
        <f t="shared" si="18"/>
        <v>27</v>
      </c>
      <c r="FY17">
        <v>1</v>
      </c>
      <c r="FZ17">
        <f t="shared" si="6"/>
        <v>3</v>
      </c>
      <c r="GA17">
        <v>1</v>
      </c>
    </row>
    <row r="18" spans="1:183" x14ac:dyDescent="0.2">
      <c r="A18">
        <v>17</v>
      </c>
      <c r="B18">
        <v>1</v>
      </c>
      <c r="C18">
        <v>1</v>
      </c>
      <c r="D18">
        <v>1</v>
      </c>
      <c r="E18" s="2">
        <v>22027</v>
      </c>
      <c r="F18" s="2">
        <v>44383</v>
      </c>
      <c r="G18" s="3">
        <f t="shared" si="0"/>
        <v>61.166666666666664</v>
      </c>
      <c r="H18">
        <v>57</v>
      </c>
      <c r="I18" s="3">
        <f t="shared" si="1"/>
        <v>4.1666666666666643</v>
      </c>
      <c r="J18">
        <v>0</v>
      </c>
      <c r="K18">
        <v>1</v>
      </c>
      <c r="L18">
        <v>8</v>
      </c>
      <c r="M18">
        <v>0</v>
      </c>
      <c r="N18">
        <v>3</v>
      </c>
      <c r="O18">
        <v>0</v>
      </c>
      <c r="P18">
        <v>1</v>
      </c>
      <c r="Q18">
        <v>4</v>
      </c>
      <c r="R18">
        <v>3</v>
      </c>
      <c r="S18">
        <v>1</v>
      </c>
      <c r="T18">
        <v>1</v>
      </c>
      <c r="U18">
        <v>0</v>
      </c>
      <c r="V18">
        <v>1</v>
      </c>
      <c r="W18">
        <v>1</v>
      </c>
      <c r="X18">
        <v>1</v>
      </c>
      <c r="Y18">
        <v>2</v>
      </c>
      <c r="Z18">
        <v>0</v>
      </c>
      <c r="AA18">
        <v>2</v>
      </c>
      <c r="AB18">
        <v>0</v>
      </c>
      <c r="AC18">
        <v>3</v>
      </c>
      <c r="AD18">
        <v>3</v>
      </c>
      <c r="AE18">
        <v>0</v>
      </c>
      <c r="AF18">
        <v>0</v>
      </c>
      <c r="AG18">
        <v>0</v>
      </c>
      <c r="AH18">
        <v>0</v>
      </c>
      <c r="AI18">
        <f>AJ18*ledd!$B$2+AK18*ledd!$B$3+AL18*ledd!$B$4+AM18*ledd!$B$5+AN18*ledd!$B$6+AO18*ledd!$B$7+AP18*ledd!$B$8+AQ18*ledd!$B$9+AR18*ledd!$B$10+AS18*ledd!$B$11+AT18*ledd!$B$12+AU18*ledd!$B$13+AV18*ledd!$B$14+AW18*ledd!$B$15+AX18*ledd!$B$16</f>
        <v>400</v>
      </c>
      <c r="AJ18">
        <v>400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3</v>
      </c>
      <c r="AZ18" s="3">
        <v>1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2</v>
      </c>
      <c r="BJ18" s="3">
        <v>0</v>
      </c>
      <c r="BK18" s="3">
        <v>0</v>
      </c>
      <c r="BL18" s="3">
        <v>0</v>
      </c>
      <c r="BM18" s="3">
        <v>1</v>
      </c>
      <c r="BN18" s="3">
        <v>0</v>
      </c>
      <c r="BO18" s="3">
        <v>0</v>
      </c>
      <c r="BP18" s="3">
        <v>2</v>
      </c>
      <c r="BQ18" s="3">
        <v>1</v>
      </c>
      <c r="BR18" s="3">
        <v>2</v>
      </c>
      <c r="BS18" s="3">
        <v>1</v>
      </c>
      <c r="BT18" s="3">
        <v>1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1</v>
      </c>
      <c r="CA18" s="3">
        <v>0</v>
      </c>
      <c r="CB18" s="3">
        <v>0</v>
      </c>
      <c r="CC18" s="3">
        <v>0</v>
      </c>
      <c r="CD18" s="3">
        <v>2</v>
      </c>
      <c r="CE18" s="3">
        <v>2</v>
      </c>
      <c r="CF18" s="3">
        <v>0</v>
      </c>
      <c r="CG18" s="3">
        <v>0</v>
      </c>
      <c r="CH18" s="3">
        <v>0</v>
      </c>
      <c r="CI18" s="3">
        <v>0</v>
      </c>
      <c r="CJ18" s="3">
        <v>2</v>
      </c>
      <c r="CK18" s="3">
        <v>3</v>
      </c>
      <c r="CL18" s="3">
        <v>3</v>
      </c>
      <c r="CM18" s="3">
        <f t="shared" si="7"/>
        <v>7.5</v>
      </c>
      <c r="CN18" s="3">
        <f t="shared" si="8"/>
        <v>4.166666666666667</v>
      </c>
      <c r="CO18" s="3">
        <f t="shared" si="9"/>
        <v>29.166666666666668</v>
      </c>
      <c r="CP18" s="3">
        <f t="shared" si="10"/>
        <v>0</v>
      </c>
      <c r="CQ18" s="3">
        <f t="shared" si="11"/>
        <v>8.3333333333333339</v>
      </c>
      <c r="CR18" s="3">
        <f t="shared" si="12"/>
        <v>25</v>
      </c>
      <c r="CS18">
        <f t="shared" si="13"/>
        <v>0</v>
      </c>
      <c r="CT18">
        <f t="shared" si="14"/>
        <v>66.666666666666671</v>
      </c>
      <c r="CU18">
        <f t="shared" si="15"/>
        <v>17.604166666666668</v>
      </c>
      <c r="CV18">
        <v>0</v>
      </c>
      <c r="CW18">
        <v>0</v>
      </c>
      <c r="CX18">
        <v>1</v>
      </c>
      <c r="CY18">
        <v>2</v>
      </c>
      <c r="CZ18">
        <v>2</v>
      </c>
      <c r="DA18">
        <v>0</v>
      </c>
      <c r="DB18">
        <v>0</v>
      </c>
      <c r="DC18">
        <v>1</v>
      </c>
      <c r="DD18">
        <v>0</v>
      </c>
      <c r="DE18">
        <v>3</v>
      </c>
      <c r="DF18">
        <v>0</v>
      </c>
      <c r="DG18">
        <v>1</v>
      </c>
      <c r="DH18">
        <v>0</v>
      </c>
      <c r="DI18">
        <v>0</v>
      </c>
      <c r="DJ18">
        <v>0</v>
      </c>
      <c r="DK18">
        <f t="shared" si="2"/>
        <v>10</v>
      </c>
      <c r="DL18">
        <v>0</v>
      </c>
      <c r="DM18">
        <v>0</v>
      </c>
      <c r="DN18">
        <v>1</v>
      </c>
      <c r="DO18">
        <v>0</v>
      </c>
      <c r="DP18">
        <v>0</v>
      </c>
      <c r="DQ18">
        <v>0</v>
      </c>
      <c r="DR18">
        <v>1</v>
      </c>
      <c r="DS18">
        <v>1</v>
      </c>
      <c r="DT18">
        <v>0</v>
      </c>
      <c r="DU18">
        <v>1</v>
      </c>
      <c r="DV18">
        <v>0</v>
      </c>
      <c r="DW18">
        <v>0</v>
      </c>
      <c r="DX18">
        <v>0</v>
      </c>
      <c r="DY18">
        <f t="shared" si="16"/>
        <v>4</v>
      </c>
      <c r="DZ18">
        <v>0</v>
      </c>
      <c r="EA18">
        <v>0</v>
      </c>
      <c r="EB18">
        <v>0</v>
      </c>
      <c r="EC18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1</v>
      </c>
      <c r="ER18">
        <v>0</v>
      </c>
      <c r="ES18">
        <v>0</v>
      </c>
      <c r="ET18">
        <v>0</v>
      </c>
      <c r="EU18">
        <v>0</v>
      </c>
      <c r="EV18">
        <v>1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f t="shared" si="3"/>
        <v>3</v>
      </c>
      <c r="FH18">
        <v>1</v>
      </c>
      <c r="FI18">
        <v>0</v>
      </c>
      <c r="FJ18">
        <v>1</v>
      </c>
      <c r="FK18">
        <v>3</v>
      </c>
      <c r="FL18">
        <v>1</v>
      </c>
      <c r="FM18">
        <v>1</v>
      </c>
      <c r="FN18">
        <f t="shared" si="4"/>
        <v>7</v>
      </c>
      <c r="FO18">
        <f t="shared" si="17"/>
        <v>24</v>
      </c>
      <c r="FP18">
        <v>8</v>
      </c>
      <c r="FQ18">
        <v>4</v>
      </c>
      <c r="FR18">
        <v>3</v>
      </c>
      <c r="FS18">
        <v>5</v>
      </c>
      <c r="FT18">
        <v>3</v>
      </c>
      <c r="FU18">
        <v>2</v>
      </c>
      <c r="FV18">
        <v>2</v>
      </c>
      <c r="FW18">
        <v>6</v>
      </c>
      <c r="FX18">
        <f t="shared" si="18"/>
        <v>25</v>
      </c>
      <c r="FY18">
        <v>0</v>
      </c>
      <c r="FZ18">
        <f t="shared" si="6"/>
        <v>2</v>
      </c>
      <c r="GA18">
        <v>1</v>
      </c>
    </row>
    <row r="19" spans="1:183" x14ac:dyDescent="0.2">
      <c r="A19">
        <v>18</v>
      </c>
      <c r="B19">
        <v>1</v>
      </c>
      <c r="C19">
        <v>1</v>
      </c>
      <c r="D19">
        <v>1</v>
      </c>
      <c r="E19" s="2">
        <v>16431</v>
      </c>
      <c r="F19" s="2">
        <v>44384</v>
      </c>
      <c r="G19" s="3">
        <f t="shared" si="0"/>
        <v>76.5</v>
      </c>
      <c r="H19">
        <v>73</v>
      </c>
      <c r="I19" s="3">
        <f t="shared" si="1"/>
        <v>3.5</v>
      </c>
      <c r="J19">
        <v>0</v>
      </c>
      <c r="K19">
        <v>1</v>
      </c>
      <c r="L19">
        <v>8</v>
      </c>
      <c r="M19">
        <v>0</v>
      </c>
      <c r="N19">
        <v>2</v>
      </c>
      <c r="O19">
        <v>0</v>
      </c>
      <c r="P19">
        <v>1</v>
      </c>
      <c r="Q19">
        <v>1</v>
      </c>
      <c r="R19">
        <v>1</v>
      </c>
      <c r="S19">
        <v>1</v>
      </c>
      <c r="T19">
        <v>1</v>
      </c>
      <c r="U19">
        <v>0</v>
      </c>
      <c r="V19">
        <v>1</v>
      </c>
      <c r="W19">
        <v>1</v>
      </c>
      <c r="X19">
        <v>3</v>
      </c>
      <c r="Y19">
        <v>3</v>
      </c>
      <c r="Z19">
        <v>0</v>
      </c>
      <c r="AA19">
        <v>2</v>
      </c>
      <c r="AB19">
        <v>0</v>
      </c>
      <c r="AC19">
        <v>1</v>
      </c>
      <c r="AD19" s="5">
        <v>6</v>
      </c>
      <c r="AE19">
        <v>1</v>
      </c>
      <c r="AF19">
        <v>1</v>
      </c>
      <c r="AG19">
        <v>0</v>
      </c>
      <c r="AH19">
        <v>0</v>
      </c>
      <c r="AI19">
        <f>AJ19*ledd!$B$2+AK19*ledd!$B$3+AL19*ledd!$B$4+AM19*ledd!$B$5+AN19*ledd!$B$6+AO19*ledd!$B$7+AP19*ledd!$B$8+AQ19*ledd!$B$9+AR19*ledd!$B$10+AS19*ledd!$B$11+AT19*ledd!$B$12+AU19*ledd!$B$13+AV19*ledd!$B$14+AW19*ledd!$B$15+AX19*ledd!$B$16</f>
        <v>435</v>
      </c>
      <c r="AJ19">
        <v>300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4.5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2</v>
      </c>
      <c r="AZ19" s="3">
        <v>2</v>
      </c>
      <c r="BA19" s="3">
        <v>0</v>
      </c>
      <c r="BB19" s="3">
        <v>0</v>
      </c>
      <c r="BC19" s="3">
        <v>3</v>
      </c>
      <c r="BD19" s="3">
        <v>3</v>
      </c>
      <c r="BE19" s="3">
        <v>0</v>
      </c>
      <c r="BF19" s="3">
        <v>2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3</v>
      </c>
      <c r="BN19" s="3">
        <v>2</v>
      </c>
      <c r="BO19" s="3">
        <v>0</v>
      </c>
      <c r="BP19" s="3">
        <v>2</v>
      </c>
      <c r="BQ19" s="3">
        <v>0</v>
      </c>
      <c r="BR19" s="3">
        <v>0</v>
      </c>
      <c r="BS19" s="3">
        <v>2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2</v>
      </c>
      <c r="CE19" s="3">
        <v>4</v>
      </c>
      <c r="CF19" s="3">
        <v>0</v>
      </c>
      <c r="CG19" s="3">
        <v>2</v>
      </c>
      <c r="CH19" s="3">
        <v>0</v>
      </c>
      <c r="CI19" s="3">
        <v>0</v>
      </c>
      <c r="CJ19" s="3">
        <v>2</v>
      </c>
      <c r="CK19" s="3">
        <v>3</v>
      </c>
      <c r="CL19" s="3">
        <v>0</v>
      </c>
      <c r="CM19" s="3">
        <f t="shared" si="7"/>
        <v>25</v>
      </c>
      <c r="CN19" s="3">
        <f t="shared" si="8"/>
        <v>20.833333333333332</v>
      </c>
      <c r="CO19" s="3">
        <f t="shared" si="9"/>
        <v>16.666666666666668</v>
      </c>
      <c r="CP19" s="3">
        <f t="shared" si="10"/>
        <v>0</v>
      </c>
      <c r="CQ19" s="3">
        <f t="shared" si="11"/>
        <v>0</v>
      </c>
      <c r="CR19" s="3">
        <f t="shared" si="12"/>
        <v>37.5</v>
      </c>
      <c r="CS19">
        <f t="shared" si="13"/>
        <v>16.666666666666668</v>
      </c>
      <c r="CT19">
        <f t="shared" si="14"/>
        <v>41.666666666666664</v>
      </c>
      <c r="CU19">
        <f t="shared" si="15"/>
        <v>19.791666666666668</v>
      </c>
      <c r="CV19">
        <v>2</v>
      </c>
      <c r="CW19">
        <v>0</v>
      </c>
      <c r="CX19">
        <v>1</v>
      </c>
      <c r="CY19">
        <v>0</v>
      </c>
      <c r="CZ19">
        <v>0</v>
      </c>
      <c r="DA19">
        <v>0</v>
      </c>
      <c r="DB19">
        <v>0</v>
      </c>
      <c r="DC19">
        <v>1</v>
      </c>
      <c r="DD19">
        <v>0</v>
      </c>
      <c r="DE19">
        <v>1</v>
      </c>
      <c r="DF19">
        <v>0</v>
      </c>
      <c r="DG19">
        <v>0</v>
      </c>
      <c r="DH19">
        <v>0</v>
      </c>
      <c r="DI19">
        <v>1</v>
      </c>
      <c r="DJ19">
        <v>0</v>
      </c>
      <c r="DK19">
        <f t="shared" si="2"/>
        <v>6</v>
      </c>
      <c r="DL19">
        <v>0</v>
      </c>
      <c r="DM19">
        <v>0</v>
      </c>
      <c r="DN19">
        <v>1</v>
      </c>
      <c r="DO19">
        <v>0</v>
      </c>
      <c r="DP19">
        <v>0</v>
      </c>
      <c r="DQ19">
        <v>0</v>
      </c>
      <c r="DR19">
        <v>3</v>
      </c>
      <c r="DS19">
        <v>3</v>
      </c>
      <c r="DT19">
        <v>0</v>
      </c>
      <c r="DU19">
        <v>1</v>
      </c>
      <c r="DV19">
        <v>0</v>
      </c>
      <c r="DW19">
        <v>0</v>
      </c>
      <c r="DX19">
        <v>0</v>
      </c>
      <c r="DY19">
        <f t="shared" si="16"/>
        <v>8</v>
      </c>
      <c r="DZ19">
        <v>0</v>
      </c>
      <c r="EA19">
        <v>0</v>
      </c>
      <c r="EB19">
        <v>0</v>
      </c>
      <c r="EC19">
        <v>1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1</v>
      </c>
      <c r="ER19">
        <v>1</v>
      </c>
      <c r="ES19">
        <v>0</v>
      </c>
      <c r="ET19">
        <v>2</v>
      </c>
      <c r="EU19">
        <v>1</v>
      </c>
      <c r="EV19">
        <v>1</v>
      </c>
      <c r="EW19">
        <v>1</v>
      </c>
      <c r="EX19">
        <v>0</v>
      </c>
      <c r="EY19">
        <v>1</v>
      </c>
      <c r="EZ19">
        <v>0</v>
      </c>
      <c r="FA19">
        <v>1</v>
      </c>
      <c r="FB19">
        <v>1</v>
      </c>
      <c r="FC19">
        <v>0</v>
      </c>
      <c r="FD19">
        <v>0</v>
      </c>
      <c r="FE19">
        <v>0</v>
      </c>
      <c r="FF19">
        <v>3</v>
      </c>
      <c r="FG19">
        <f t="shared" si="3"/>
        <v>14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f t="shared" si="4"/>
        <v>0</v>
      </c>
      <c r="FO19">
        <f t="shared" si="17"/>
        <v>28</v>
      </c>
      <c r="FP19">
        <v>10</v>
      </c>
      <c r="FQ19">
        <v>3</v>
      </c>
      <c r="FR19">
        <v>3</v>
      </c>
      <c r="FS19">
        <v>6</v>
      </c>
      <c r="FT19">
        <v>3</v>
      </c>
      <c r="FU19">
        <v>2</v>
      </c>
      <c r="FV19">
        <v>2</v>
      </c>
      <c r="FW19">
        <v>6</v>
      </c>
      <c r="FX19">
        <f t="shared" si="18"/>
        <v>25</v>
      </c>
      <c r="FY19">
        <v>2</v>
      </c>
      <c r="FZ19">
        <f t="shared" si="6"/>
        <v>5</v>
      </c>
      <c r="GA19">
        <v>0</v>
      </c>
    </row>
    <row r="20" spans="1:183" x14ac:dyDescent="0.2">
      <c r="A20">
        <v>19</v>
      </c>
      <c r="B20">
        <v>1</v>
      </c>
      <c r="C20">
        <v>1</v>
      </c>
      <c r="D20">
        <v>1</v>
      </c>
      <c r="E20" s="2">
        <v>24321</v>
      </c>
      <c r="F20" s="2">
        <v>44385</v>
      </c>
      <c r="G20" s="3">
        <f t="shared" si="0"/>
        <v>54.916666666666664</v>
      </c>
      <c r="H20">
        <v>50</v>
      </c>
      <c r="I20" s="3">
        <f t="shared" si="1"/>
        <v>4.9166666666666643</v>
      </c>
      <c r="J20">
        <v>0</v>
      </c>
      <c r="K20">
        <v>0</v>
      </c>
      <c r="L20">
        <v>8</v>
      </c>
      <c r="M20">
        <v>0</v>
      </c>
      <c r="N20">
        <v>2</v>
      </c>
      <c r="O20">
        <v>0</v>
      </c>
      <c r="P20">
        <v>0</v>
      </c>
      <c r="Q20">
        <v>2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1</v>
      </c>
      <c r="AI20">
        <f>AJ20*ledd!$B$2+AK20*ledd!$B$3+AL20*ledd!$B$4+AM20*ledd!$B$5+AN20*ledd!$B$6+AO20*ledd!$B$7+AP20*ledd!$B$8+AQ20*ledd!$B$9+AR20*ledd!$B$10+AS20*ledd!$B$11+AT20*ledd!$B$12+AU20*ledd!$B$13+AV20*ledd!$B$14+AW20*ledd!$B$15+AX20*ledd!$B$16</f>
        <v>730</v>
      </c>
      <c r="AJ20">
        <v>175</v>
      </c>
      <c r="AK20">
        <v>100</v>
      </c>
      <c r="AL20">
        <v>0</v>
      </c>
      <c r="AM20">
        <v>0</v>
      </c>
      <c r="AN20">
        <v>0</v>
      </c>
      <c r="AO20">
        <v>24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2</v>
      </c>
      <c r="AZ20" s="3">
        <v>0</v>
      </c>
      <c r="BA20" s="3">
        <v>0</v>
      </c>
      <c r="BB20" s="3">
        <v>0</v>
      </c>
      <c r="BC20" s="3">
        <v>1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1</v>
      </c>
      <c r="BN20" s="3">
        <v>0</v>
      </c>
      <c r="BO20" s="3">
        <v>1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1</v>
      </c>
      <c r="BV20" s="3">
        <v>1</v>
      </c>
      <c r="BW20" s="3">
        <v>0</v>
      </c>
      <c r="BX20" s="3">
        <v>0</v>
      </c>
      <c r="BY20" s="3">
        <v>0</v>
      </c>
      <c r="BZ20" s="3">
        <v>1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1</v>
      </c>
      <c r="CK20" s="3">
        <v>0</v>
      </c>
      <c r="CL20" s="3">
        <v>1</v>
      </c>
      <c r="CM20" s="3">
        <f t="shared" si="7"/>
        <v>2.5</v>
      </c>
      <c r="CN20" s="3">
        <f t="shared" si="8"/>
        <v>8.3333333333333339</v>
      </c>
      <c r="CO20" s="3">
        <f t="shared" si="9"/>
        <v>4.166666666666667</v>
      </c>
      <c r="CP20" s="3">
        <f t="shared" si="10"/>
        <v>6.25</v>
      </c>
      <c r="CQ20" s="3">
        <f t="shared" si="11"/>
        <v>8.3333333333333339</v>
      </c>
      <c r="CR20" s="3">
        <f t="shared" si="12"/>
        <v>0</v>
      </c>
      <c r="CS20">
        <f t="shared" si="13"/>
        <v>0</v>
      </c>
      <c r="CT20">
        <f t="shared" si="14"/>
        <v>16.666666666666668</v>
      </c>
      <c r="CU20">
        <f t="shared" si="15"/>
        <v>5.78125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1</v>
      </c>
      <c r="DG20">
        <v>0</v>
      </c>
      <c r="DH20">
        <v>0</v>
      </c>
      <c r="DI20">
        <v>0</v>
      </c>
      <c r="DJ20">
        <v>0</v>
      </c>
      <c r="DK20">
        <f t="shared" si="2"/>
        <v>1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1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f t="shared" si="16"/>
        <v>1</v>
      </c>
      <c r="DZ20">
        <v>0</v>
      </c>
      <c r="EA20">
        <v>0</v>
      </c>
      <c r="EB20">
        <v>2</v>
      </c>
      <c r="EC20">
        <v>1</v>
      </c>
      <c r="ED20">
        <v>2</v>
      </c>
      <c r="EE20">
        <v>1</v>
      </c>
      <c r="EF20">
        <v>2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1</v>
      </c>
      <c r="EQ20">
        <v>0</v>
      </c>
      <c r="ER20">
        <v>1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f t="shared" si="3"/>
        <v>10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f t="shared" si="4"/>
        <v>0</v>
      </c>
      <c r="FO20">
        <f t="shared" si="17"/>
        <v>12</v>
      </c>
      <c r="FP20">
        <v>2</v>
      </c>
      <c r="FQ20">
        <v>3</v>
      </c>
      <c r="FR20">
        <v>3</v>
      </c>
      <c r="FS20">
        <v>6</v>
      </c>
      <c r="FT20">
        <v>3</v>
      </c>
      <c r="FU20">
        <v>2</v>
      </c>
      <c r="FV20">
        <v>5</v>
      </c>
      <c r="FW20">
        <v>6</v>
      </c>
      <c r="FX20">
        <f t="shared" si="18"/>
        <v>28</v>
      </c>
      <c r="FY20">
        <v>3</v>
      </c>
      <c r="FZ20">
        <f t="shared" si="6"/>
        <v>4</v>
      </c>
      <c r="GA20">
        <v>1</v>
      </c>
    </row>
    <row r="21" spans="1:183" x14ac:dyDescent="0.2">
      <c r="A21">
        <v>20</v>
      </c>
      <c r="B21">
        <v>1</v>
      </c>
      <c r="C21">
        <v>1</v>
      </c>
      <c r="D21">
        <v>1</v>
      </c>
      <c r="E21" s="2">
        <v>20570</v>
      </c>
      <c r="F21" s="2">
        <v>44386</v>
      </c>
      <c r="G21" s="3">
        <f t="shared" si="0"/>
        <v>65.166666666666671</v>
      </c>
      <c r="H21">
        <v>64</v>
      </c>
      <c r="I21" s="3">
        <f t="shared" si="1"/>
        <v>1.1666666666666714</v>
      </c>
      <c r="J21">
        <v>0</v>
      </c>
      <c r="K21">
        <v>5</v>
      </c>
      <c r="L21">
        <v>8</v>
      </c>
      <c r="M21">
        <v>0</v>
      </c>
      <c r="N21">
        <v>1</v>
      </c>
      <c r="O21">
        <v>2</v>
      </c>
      <c r="P21">
        <v>2</v>
      </c>
      <c r="Q21">
        <v>2</v>
      </c>
      <c r="R21">
        <v>1</v>
      </c>
      <c r="S21">
        <v>0</v>
      </c>
      <c r="T21">
        <v>0</v>
      </c>
      <c r="U21">
        <v>0</v>
      </c>
      <c r="V21">
        <v>0</v>
      </c>
      <c r="W21">
        <v>1</v>
      </c>
      <c r="X21">
        <v>2</v>
      </c>
      <c r="Y21">
        <v>2</v>
      </c>
      <c r="Z21">
        <v>1</v>
      </c>
      <c r="AA21">
        <v>2</v>
      </c>
      <c r="AB21">
        <v>1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f>AJ21*ledd!$B$2+AK21*ledd!$B$3+AL21*ledd!$B$4+AM21*ledd!$B$5+AN21*ledd!$B$6+AO21*ledd!$B$7+AP21*ledd!$B$8+AQ21*ledd!$B$9+AR21*ledd!$B$10+AS21*ledd!$B$11+AT21*ledd!$B$12+AU21*ledd!$B$13+AV21*ledd!$B$14+AW21*ledd!$B$15+AX21*ledd!$B$16</f>
        <v>600</v>
      </c>
      <c r="AJ21">
        <v>600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4</v>
      </c>
      <c r="AZ21" s="3">
        <v>0</v>
      </c>
      <c r="BA21" s="3">
        <v>2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1</v>
      </c>
      <c r="BS21" s="3">
        <v>2</v>
      </c>
      <c r="BT21" s="3">
        <v>1</v>
      </c>
      <c r="BU21" s="3">
        <v>1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1</v>
      </c>
      <c r="CD21" s="3">
        <v>1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1</v>
      </c>
      <c r="CK21" s="3">
        <v>3</v>
      </c>
      <c r="CL21" s="3">
        <v>0</v>
      </c>
      <c r="CM21" s="3">
        <f t="shared" si="7"/>
        <v>5</v>
      </c>
      <c r="CN21" s="3">
        <f t="shared" si="8"/>
        <v>0</v>
      </c>
      <c r="CO21" s="3">
        <f t="shared" si="9"/>
        <v>20.833333333333332</v>
      </c>
      <c r="CP21" s="3">
        <f t="shared" si="10"/>
        <v>0</v>
      </c>
      <c r="CQ21" s="3">
        <f t="shared" si="11"/>
        <v>0</v>
      </c>
      <c r="CR21" s="3">
        <f t="shared" si="12"/>
        <v>12.5</v>
      </c>
      <c r="CS21">
        <f t="shared" si="13"/>
        <v>0</v>
      </c>
      <c r="CT21">
        <f t="shared" si="14"/>
        <v>33.333333333333336</v>
      </c>
      <c r="CU21">
        <f t="shared" si="15"/>
        <v>8.9583333333333321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2</v>
      </c>
      <c r="DE21">
        <v>0</v>
      </c>
      <c r="DF21">
        <v>1</v>
      </c>
      <c r="DG21">
        <v>3</v>
      </c>
      <c r="DH21">
        <v>1</v>
      </c>
      <c r="DI21">
        <v>0</v>
      </c>
      <c r="DJ21">
        <v>0</v>
      </c>
      <c r="DK21">
        <f t="shared" si="2"/>
        <v>7</v>
      </c>
      <c r="DL21">
        <v>1</v>
      </c>
      <c r="DM21">
        <v>3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</v>
      </c>
      <c r="DV21">
        <v>0</v>
      </c>
      <c r="DW21">
        <v>1</v>
      </c>
      <c r="DX21">
        <v>1</v>
      </c>
      <c r="DY21">
        <f t="shared" si="16"/>
        <v>7</v>
      </c>
      <c r="DZ21">
        <v>1</v>
      </c>
      <c r="EA21">
        <v>2</v>
      </c>
      <c r="EB21">
        <v>2</v>
      </c>
      <c r="EC21">
        <v>2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2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0</v>
      </c>
      <c r="EP21">
        <v>1</v>
      </c>
      <c r="EQ21">
        <v>0</v>
      </c>
      <c r="ER21">
        <v>1</v>
      </c>
      <c r="ES21">
        <v>0</v>
      </c>
      <c r="ET21">
        <v>0</v>
      </c>
      <c r="EU21">
        <v>1</v>
      </c>
      <c r="EV21">
        <v>1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f t="shared" si="3"/>
        <v>23</v>
      </c>
      <c r="FH21">
        <v>1</v>
      </c>
      <c r="FI21">
        <v>0</v>
      </c>
      <c r="FJ21">
        <v>1</v>
      </c>
      <c r="FK21">
        <v>0</v>
      </c>
      <c r="FL21">
        <v>0</v>
      </c>
      <c r="FM21">
        <v>0</v>
      </c>
      <c r="FN21">
        <f t="shared" si="4"/>
        <v>2</v>
      </c>
      <c r="FO21">
        <f t="shared" si="17"/>
        <v>39</v>
      </c>
      <c r="FP21">
        <v>6</v>
      </c>
      <c r="FQ21">
        <v>2</v>
      </c>
      <c r="FR21">
        <v>3</v>
      </c>
      <c r="FS21">
        <v>5</v>
      </c>
      <c r="FT21">
        <v>3</v>
      </c>
      <c r="FU21">
        <v>2</v>
      </c>
      <c r="FV21">
        <v>4</v>
      </c>
      <c r="FW21">
        <v>6</v>
      </c>
      <c r="FX21">
        <f t="shared" si="18"/>
        <v>25</v>
      </c>
      <c r="FY21">
        <v>0</v>
      </c>
      <c r="FZ21">
        <f t="shared" si="6"/>
        <v>2</v>
      </c>
      <c r="GA21">
        <v>0</v>
      </c>
    </row>
    <row r="22" spans="1:183" x14ac:dyDescent="0.2">
      <c r="A22">
        <v>21</v>
      </c>
      <c r="B22">
        <v>1</v>
      </c>
      <c r="C22">
        <v>1</v>
      </c>
      <c r="D22">
        <v>0</v>
      </c>
      <c r="E22" s="2">
        <v>20085</v>
      </c>
      <c r="F22" s="2">
        <v>44393</v>
      </c>
      <c r="G22" s="3">
        <f t="shared" si="0"/>
        <v>66.5</v>
      </c>
      <c r="H22">
        <v>50</v>
      </c>
      <c r="I22" s="3">
        <f t="shared" si="1"/>
        <v>16.5</v>
      </c>
      <c r="J22">
        <v>0</v>
      </c>
      <c r="K22">
        <v>3</v>
      </c>
      <c r="L22">
        <v>1</v>
      </c>
      <c r="M22">
        <v>0</v>
      </c>
      <c r="N22">
        <v>1</v>
      </c>
      <c r="O22">
        <v>0</v>
      </c>
      <c r="P22">
        <v>1</v>
      </c>
      <c r="Q22">
        <v>4</v>
      </c>
      <c r="R22">
        <v>3</v>
      </c>
      <c r="S22">
        <v>1</v>
      </c>
      <c r="T22">
        <v>1</v>
      </c>
      <c r="U22">
        <v>0</v>
      </c>
      <c r="V22">
        <v>1</v>
      </c>
      <c r="W22">
        <v>1</v>
      </c>
      <c r="X22">
        <v>1</v>
      </c>
      <c r="Y22">
        <v>1</v>
      </c>
      <c r="Z22">
        <v>4</v>
      </c>
      <c r="AA22">
        <v>0</v>
      </c>
      <c r="AC22">
        <v>3</v>
      </c>
      <c r="AD22">
        <v>3</v>
      </c>
      <c r="AE22">
        <v>0</v>
      </c>
      <c r="AF22">
        <v>0</v>
      </c>
      <c r="AG22">
        <v>0</v>
      </c>
      <c r="AH22">
        <v>2</v>
      </c>
      <c r="AI22">
        <f>AJ22*ledd!$B$2+AK22*ledd!$B$3+AL22*ledd!$B$4+AM22*ledd!$B$5+AN22*ledd!$B$6+AO22*ledd!$B$7+AP22*ledd!$B$8+AQ22*ledd!$B$9+AR22*ledd!$B$10+AS22*ledd!$B$11+AT22*ledd!$B$12+AU22*ledd!$B$13+AV22*ledd!$B$14+AW22*ledd!$B$15+AX22*ledd!$B$16</f>
        <v>941.5</v>
      </c>
      <c r="AJ22">
        <v>550</v>
      </c>
      <c r="AK22">
        <v>100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200</v>
      </c>
      <c r="AW22">
        <v>100</v>
      </c>
      <c r="AX22">
        <v>50</v>
      </c>
      <c r="AY22">
        <v>3</v>
      </c>
      <c r="AZ22" s="3">
        <v>2</v>
      </c>
      <c r="BA22" s="3">
        <v>2</v>
      </c>
      <c r="BB22" s="3">
        <v>0</v>
      </c>
      <c r="BC22" s="3">
        <v>1</v>
      </c>
      <c r="BD22" s="3">
        <v>1</v>
      </c>
      <c r="BE22" s="3">
        <v>2</v>
      </c>
      <c r="BF22" s="3">
        <v>2</v>
      </c>
      <c r="BG22" s="3">
        <v>0</v>
      </c>
      <c r="BH22" s="3">
        <v>2</v>
      </c>
      <c r="BI22" s="3">
        <v>2</v>
      </c>
      <c r="BJ22" s="3">
        <v>2</v>
      </c>
      <c r="BK22" s="3">
        <v>3</v>
      </c>
      <c r="BL22" s="3">
        <v>0</v>
      </c>
      <c r="BM22" s="3">
        <v>3</v>
      </c>
      <c r="BN22" s="3">
        <v>0</v>
      </c>
      <c r="BO22" s="3">
        <v>0</v>
      </c>
      <c r="BP22" s="3">
        <v>1</v>
      </c>
      <c r="BQ22" s="3">
        <v>0</v>
      </c>
      <c r="BR22" s="3">
        <v>0</v>
      </c>
      <c r="BS22" s="3">
        <v>0</v>
      </c>
      <c r="BT22" s="3">
        <v>1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1</v>
      </c>
      <c r="CA22" s="3">
        <v>0</v>
      </c>
      <c r="CB22" s="3">
        <v>0</v>
      </c>
      <c r="CC22" s="3">
        <v>3</v>
      </c>
      <c r="CD22" s="3">
        <v>3</v>
      </c>
      <c r="CE22" s="3">
        <v>3</v>
      </c>
      <c r="CF22" s="3">
        <v>1</v>
      </c>
      <c r="CG22" s="3">
        <v>0</v>
      </c>
      <c r="CH22" s="3">
        <v>0</v>
      </c>
      <c r="CI22" s="3">
        <v>0</v>
      </c>
      <c r="CJ22" s="3">
        <v>3</v>
      </c>
      <c r="CK22" s="3">
        <v>0</v>
      </c>
      <c r="CL22" s="3">
        <v>3</v>
      </c>
      <c r="CM22" s="3">
        <f t="shared" si="7"/>
        <v>35</v>
      </c>
      <c r="CN22" s="3">
        <f t="shared" si="8"/>
        <v>33.333333333333336</v>
      </c>
      <c r="CO22" s="3">
        <f t="shared" si="9"/>
        <v>8.3333333333333339</v>
      </c>
      <c r="CP22" s="3">
        <f t="shared" si="10"/>
        <v>0</v>
      </c>
      <c r="CQ22" s="3">
        <f t="shared" si="11"/>
        <v>8.3333333333333339</v>
      </c>
      <c r="CR22" s="3">
        <f t="shared" si="12"/>
        <v>62.5</v>
      </c>
      <c r="CS22">
        <f t="shared" si="13"/>
        <v>0</v>
      </c>
      <c r="CT22">
        <f t="shared" si="14"/>
        <v>50</v>
      </c>
      <c r="CU22">
        <f t="shared" si="15"/>
        <v>24.6875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0</v>
      </c>
      <c r="DB22">
        <v>0</v>
      </c>
      <c r="DC22">
        <v>0</v>
      </c>
      <c r="DD22">
        <v>3</v>
      </c>
      <c r="DE22">
        <v>2</v>
      </c>
      <c r="DF22">
        <v>1</v>
      </c>
      <c r="DG22">
        <v>2</v>
      </c>
      <c r="DH22">
        <v>1</v>
      </c>
      <c r="DI22">
        <v>0</v>
      </c>
      <c r="DJ22">
        <v>0</v>
      </c>
      <c r="DK22">
        <f t="shared" si="2"/>
        <v>13</v>
      </c>
      <c r="DL22">
        <v>1</v>
      </c>
      <c r="DM22">
        <v>2</v>
      </c>
      <c r="DN22">
        <v>0</v>
      </c>
      <c r="DO22">
        <v>0</v>
      </c>
      <c r="DP22">
        <v>2</v>
      </c>
      <c r="DQ22">
        <v>1</v>
      </c>
      <c r="DR22">
        <v>3</v>
      </c>
      <c r="DS22">
        <v>3</v>
      </c>
      <c r="DT22">
        <v>2</v>
      </c>
      <c r="DU22">
        <v>0</v>
      </c>
      <c r="DV22">
        <v>0</v>
      </c>
      <c r="DW22">
        <v>2</v>
      </c>
      <c r="DX22">
        <v>3</v>
      </c>
      <c r="DY22">
        <f t="shared" si="16"/>
        <v>19</v>
      </c>
      <c r="DZ22">
        <v>2</v>
      </c>
      <c r="EA22">
        <v>2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3</v>
      </c>
      <c r="EH22">
        <v>3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2</v>
      </c>
      <c r="ER22">
        <v>3</v>
      </c>
      <c r="ES22">
        <v>2</v>
      </c>
      <c r="ET22">
        <v>1</v>
      </c>
      <c r="EU22">
        <v>3</v>
      </c>
      <c r="EV22">
        <v>2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f t="shared" si="3"/>
        <v>23</v>
      </c>
      <c r="FH22">
        <v>2</v>
      </c>
      <c r="FI22">
        <v>3</v>
      </c>
      <c r="FJ22">
        <v>2</v>
      </c>
      <c r="FK22">
        <v>3</v>
      </c>
      <c r="FL22">
        <v>1</v>
      </c>
      <c r="FM22">
        <v>1</v>
      </c>
      <c r="FN22">
        <f t="shared" si="4"/>
        <v>12</v>
      </c>
      <c r="FO22">
        <f t="shared" si="17"/>
        <v>67</v>
      </c>
      <c r="FP22">
        <v>10</v>
      </c>
      <c r="FQ22">
        <v>4</v>
      </c>
      <c r="FR22">
        <v>2</v>
      </c>
      <c r="FS22">
        <v>6</v>
      </c>
      <c r="FT22">
        <v>2</v>
      </c>
      <c r="FU22">
        <v>2</v>
      </c>
      <c r="FV22">
        <v>3</v>
      </c>
      <c r="FW22">
        <v>6</v>
      </c>
      <c r="FX22">
        <f t="shared" si="18"/>
        <v>25</v>
      </c>
      <c r="FY22">
        <v>2</v>
      </c>
      <c r="FZ22">
        <f t="shared" si="6"/>
        <v>4</v>
      </c>
      <c r="GA22">
        <v>1</v>
      </c>
    </row>
    <row r="23" spans="1:183" x14ac:dyDescent="0.2">
      <c r="A23">
        <v>22</v>
      </c>
      <c r="B23">
        <v>1</v>
      </c>
      <c r="C23">
        <v>1</v>
      </c>
      <c r="D23">
        <v>1</v>
      </c>
      <c r="E23" s="2">
        <v>19406</v>
      </c>
      <c r="F23" s="2">
        <v>44396</v>
      </c>
      <c r="G23" s="3">
        <f t="shared" si="0"/>
        <v>68.416666666666671</v>
      </c>
      <c r="H23">
        <v>62</v>
      </c>
      <c r="I23" s="3">
        <f t="shared" si="1"/>
        <v>6.4166666666666714</v>
      </c>
      <c r="J23">
        <v>0</v>
      </c>
      <c r="K23">
        <v>1</v>
      </c>
      <c r="L23">
        <v>1</v>
      </c>
      <c r="M23">
        <v>0</v>
      </c>
      <c r="N23">
        <v>2</v>
      </c>
      <c r="O23">
        <v>1</v>
      </c>
      <c r="P23">
        <v>4</v>
      </c>
      <c r="Q23">
        <v>2</v>
      </c>
      <c r="R23">
        <v>1</v>
      </c>
      <c r="S23">
        <v>1</v>
      </c>
      <c r="T23">
        <v>1</v>
      </c>
      <c r="U23">
        <v>0</v>
      </c>
      <c r="V23">
        <v>1</v>
      </c>
      <c r="W23">
        <v>1</v>
      </c>
      <c r="X23">
        <v>0</v>
      </c>
      <c r="Y23">
        <v>2</v>
      </c>
      <c r="Z23">
        <v>0</v>
      </c>
      <c r="AA23">
        <v>1</v>
      </c>
      <c r="AB23">
        <v>6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f>AJ23*ledd!$B$2+AK23*ledd!$B$3+AL23*ledd!$B$4+AM23*ledd!$B$5+AN23*ledd!$B$6+AO23*ledd!$B$7+AP23*ledd!$B$8+AQ23*ledd!$B$9+AR23*ledd!$B$10+AS23*ledd!$B$11+AT23*ledd!$B$12+AU23*ledd!$B$13+AV23*ledd!$B$14+AW23*ledd!$B$15+AX23*ledd!$B$16</f>
        <v>616.5</v>
      </c>
      <c r="AJ23">
        <v>600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50</v>
      </c>
      <c r="AY23">
        <v>2</v>
      </c>
      <c r="AZ23" s="3">
        <v>3</v>
      </c>
      <c r="BA23" s="3">
        <v>0</v>
      </c>
      <c r="BB23" s="3">
        <v>3</v>
      </c>
      <c r="BC23" s="3">
        <v>4</v>
      </c>
      <c r="BD23" s="3">
        <v>1</v>
      </c>
      <c r="BE23" s="3">
        <v>1</v>
      </c>
      <c r="BF23" s="3">
        <v>0</v>
      </c>
      <c r="BG23" s="3">
        <v>0</v>
      </c>
      <c r="BH23" s="3">
        <v>0</v>
      </c>
      <c r="BI23" s="3">
        <v>3</v>
      </c>
      <c r="BJ23" s="3">
        <v>0</v>
      </c>
      <c r="BK23" s="3">
        <v>3</v>
      </c>
      <c r="BL23" s="3">
        <v>3</v>
      </c>
      <c r="BM23" s="3">
        <v>1</v>
      </c>
      <c r="BN23" s="3">
        <v>0</v>
      </c>
      <c r="BO23" s="3">
        <v>3</v>
      </c>
      <c r="BP23" s="3">
        <v>2</v>
      </c>
      <c r="BQ23" s="3">
        <v>0</v>
      </c>
      <c r="BR23" s="3">
        <v>2</v>
      </c>
      <c r="BS23" s="3">
        <v>2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3</v>
      </c>
      <c r="CD23" s="3">
        <v>2</v>
      </c>
      <c r="CE23" s="3">
        <v>4</v>
      </c>
      <c r="CF23" s="3">
        <v>2</v>
      </c>
      <c r="CG23" s="3">
        <v>3</v>
      </c>
      <c r="CH23" s="3">
        <v>0</v>
      </c>
      <c r="CI23" s="3">
        <v>0</v>
      </c>
      <c r="CJ23" s="3">
        <v>3</v>
      </c>
      <c r="CK23" s="3">
        <v>0</v>
      </c>
      <c r="CL23" s="3">
        <v>0</v>
      </c>
      <c r="CM23" s="3">
        <f t="shared" si="7"/>
        <v>37.5</v>
      </c>
      <c r="CN23" s="3">
        <f t="shared" si="8"/>
        <v>41.666666666666664</v>
      </c>
      <c r="CO23" s="3">
        <f t="shared" si="9"/>
        <v>25</v>
      </c>
      <c r="CP23" s="3">
        <f t="shared" si="10"/>
        <v>0</v>
      </c>
      <c r="CQ23" s="3">
        <f t="shared" si="11"/>
        <v>0</v>
      </c>
      <c r="CR23" s="3">
        <f t="shared" si="12"/>
        <v>68.75</v>
      </c>
      <c r="CS23">
        <f t="shared" si="13"/>
        <v>25</v>
      </c>
      <c r="CT23">
        <f t="shared" si="14"/>
        <v>25</v>
      </c>
      <c r="CU23">
        <f t="shared" si="15"/>
        <v>27.864583333333332</v>
      </c>
      <c r="CV23">
        <v>1</v>
      </c>
      <c r="CW23">
        <v>1</v>
      </c>
      <c r="CX23">
        <v>1</v>
      </c>
      <c r="CY23">
        <v>0</v>
      </c>
      <c r="CZ23">
        <v>2</v>
      </c>
      <c r="DA23">
        <v>0</v>
      </c>
      <c r="DB23">
        <v>0</v>
      </c>
      <c r="DC23">
        <v>3</v>
      </c>
      <c r="DD23">
        <v>2</v>
      </c>
      <c r="DE23">
        <v>2</v>
      </c>
      <c r="DF23">
        <v>0</v>
      </c>
      <c r="DG23">
        <v>0</v>
      </c>
      <c r="DH23">
        <v>0</v>
      </c>
      <c r="DI23">
        <v>0</v>
      </c>
      <c r="DJ23">
        <v>0</v>
      </c>
      <c r="DK23">
        <f t="shared" si="2"/>
        <v>12</v>
      </c>
      <c r="DL23">
        <v>1</v>
      </c>
      <c r="DM23">
        <v>3</v>
      </c>
      <c r="DN23">
        <v>2</v>
      </c>
      <c r="DO23">
        <v>1</v>
      </c>
      <c r="DP23">
        <v>1</v>
      </c>
      <c r="DQ23">
        <v>0</v>
      </c>
      <c r="DR23">
        <v>2</v>
      </c>
      <c r="DS23">
        <v>3</v>
      </c>
      <c r="DT23">
        <v>0</v>
      </c>
      <c r="DU23">
        <v>1</v>
      </c>
      <c r="DV23">
        <v>1</v>
      </c>
      <c r="DW23">
        <v>0</v>
      </c>
      <c r="DX23">
        <v>0</v>
      </c>
      <c r="DY23">
        <f t="shared" si="16"/>
        <v>15</v>
      </c>
      <c r="DZ23">
        <v>1</v>
      </c>
      <c r="EA23">
        <v>20</v>
      </c>
      <c r="EB23">
        <v>0</v>
      </c>
      <c r="EC23">
        <v>1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1</v>
      </c>
      <c r="EN23">
        <v>0</v>
      </c>
      <c r="EO23">
        <v>0</v>
      </c>
      <c r="EP23">
        <v>0</v>
      </c>
      <c r="EQ23">
        <v>0</v>
      </c>
      <c r="ER23">
        <v>1</v>
      </c>
      <c r="ES23">
        <v>0</v>
      </c>
      <c r="ET23">
        <v>0</v>
      </c>
      <c r="EU23">
        <v>1</v>
      </c>
      <c r="EV23">
        <v>1</v>
      </c>
      <c r="EW23">
        <v>1</v>
      </c>
      <c r="EX23">
        <v>0</v>
      </c>
      <c r="EY23">
        <v>1</v>
      </c>
      <c r="EZ23">
        <v>0</v>
      </c>
      <c r="FA23">
        <v>1</v>
      </c>
      <c r="FB23">
        <v>0</v>
      </c>
      <c r="FC23">
        <v>0</v>
      </c>
      <c r="FD23">
        <v>0</v>
      </c>
      <c r="FE23">
        <v>0</v>
      </c>
      <c r="FF23">
        <v>1</v>
      </c>
      <c r="FG23">
        <f t="shared" si="3"/>
        <v>30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f t="shared" si="4"/>
        <v>0</v>
      </c>
      <c r="FO23">
        <f t="shared" si="17"/>
        <v>57</v>
      </c>
      <c r="FP23">
        <v>8</v>
      </c>
      <c r="FQ23">
        <v>3</v>
      </c>
      <c r="FR23">
        <v>3</v>
      </c>
      <c r="FS23">
        <v>5</v>
      </c>
      <c r="FT23">
        <v>3</v>
      </c>
      <c r="FU23">
        <v>1</v>
      </c>
      <c r="FV23">
        <v>4</v>
      </c>
      <c r="FW23">
        <v>6</v>
      </c>
      <c r="FX23">
        <f t="shared" si="18"/>
        <v>25</v>
      </c>
      <c r="FY23">
        <v>0</v>
      </c>
      <c r="FZ23">
        <f t="shared" si="6"/>
        <v>2</v>
      </c>
      <c r="GA23">
        <v>1</v>
      </c>
    </row>
    <row r="24" spans="1:183" x14ac:dyDescent="0.2">
      <c r="A24">
        <v>23</v>
      </c>
      <c r="B24">
        <v>1</v>
      </c>
      <c r="C24">
        <v>1</v>
      </c>
      <c r="D24">
        <v>1</v>
      </c>
      <c r="E24" s="2">
        <v>14921</v>
      </c>
      <c r="F24" s="2">
        <v>44417</v>
      </c>
      <c r="G24" s="3">
        <f t="shared" si="0"/>
        <v>80.75</v>
      </c>
      <c r="H24">
        <v>74</v>
      </c>
      <c r="I24" s="3">
        <f t="shared" si="1"/>
        <v>6.75</v>
      </c>
      <c r="J24">
        <v>0</v>
      </c>
      <c r="K24">
        <v>1</v>
      </c>
      <c r="L24">
        <v>8</v>
      </c>
      <c r="M24">
        <v>0</v>
      </c>
      <c r="N24">
        <v>2</v>
      </c>
      <c r="O24">
        <v>1</v>
      </c>
      <c r="P24">
        <v>0</v>
      </c>
      <c r="Q24">
        <v>4</v>
      </c>
      <c r="R24">
        <v>3</v>
      </c>
      <c r="S24">
        <v>1</v>
      </c>
      <c r="T24">
        <v>1</v>
      </c>
      <c r="U24">
        <v>0</v>
      </c>
      <c r="V24">
        <v>1</v>
      </c>
      <c r="W24">
        <v>1</v>
      </c>
      <c r="X24">
        <v>3</v>
      </c>
      <c r="Y24">
        <v>2</v>
      </c>
      <c r="Z24">
        <v>0</v>
      </c>
      <c r="AA24">
        <v>2</v>
      </c>
      <c r="AB24">
        <v>0</v>
      </c>
      <c r="AC24">
        <v>3</v>
      </c>
      <c r="AD24">
        <v>6</v>
      </c>
      <c r="AE24">
        <v>0</v>
      </c>
      <c r="AF24">
        <v>0</v>
      </c>
      <c r="AG24">
        <v>0</v>
      </c>
      <c r="AH24">
        <v>0</v>
      </c>
      <c r="AI24">
        <f>AJ24*ledd!$B$2+AK24*ledd!$B$3+AL24*ledd!$B$4+AM24*ledd!$B$5+AN24*ledd!$B$6+AO24*ledd!$B$7+AP24*ledd!$B$8+AQ24*ledd!$B$9+AR24*ledd!$B$10+AS24*ledd!$B$11+AT24*ledd!$B$12+AU24*ledd!$B$13+AV24*ledd!$B$14+AW24*ledd!$B$15+AX24*ledd!$B$16</f>
        <v>830</v>
      </c>
      <c r="AJ24">
        <v>500</v>
      </c>
      <c r="AK24">
        <v>0</v>
      </c>
      <c r="AL24">
        <v>1000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4</v>
      </c>
      <c r="AZ24" s="3">
        <v>2</v>
      </c>
      <c r="BA24" s="3">
        <v>2</v>
      </c>
      <c r="BB24" s="3">
        <v>3</v>
      </c>
      <c r="BC24" s="3">
        <v>0</v>
      </c>
      <c r="BD24" s="3">
        <v>0</v>
      </c>
      <c r="BE24" s="3">
        <v>0</v>
      </c>
      <c r="BF24" s="3">
        <v>2</v>
      </c>
      <c r="BG24" s="3">
        <v>4</v>
      </c>
      <c r="BH24" s="3">
        <v>3</v>
      </c>
      <c r="BI24" s="3">
        <v>4</v>
      </c>
      <c r="BJ24" s="3">
        <v>2</v>
      </c>
      <c r="BK24" s="3">
        <v>3</v>
      </c>
      <c r="BL24" s="3">
        <v>3</v>
      </c>
      <c r="BM24" s="3">
        <v>4</v>
      </c>
      <c r="BN24" s="3">
        <v>0</v>
      </c>
      <c r="BO24" s="3">
        <v>0</v>
      </c>
      <c r="BP24" s="3">
        <v>1</v>
      </c>
      <c r="BQ24" s="3">
        <v>0</v>
      </c>
      <c r="BR24" s="3">
        <v>1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3</v>
      </c>
      <c r="CD24" s="3">
        <v>2</v>
      </c>
      <c r="CE24" s="3">
        <v>0</v>
      </c>
      <c r="CF24" s="3">
        <v>0</v>
      </c>
      <c r="CG24" s="3">
        <v>3</v>
      </c>
      <c r="CH24" s="3">
        <v>0</v>
      </c>
      <c r="CI24" s="3">
        <v>0</v>
      </c>
      <c r="CJ24" s="3">
        <v>3</v>
      </c>
      <c r="CK24" s="3">
        <v>0</v>
      </c>
      <c r="CL24" s="3">
        <v>0</v>
      </c>
      <c r="CM24" s="3">
        <f t="shared" si="7"/>
        <v>50</v>
      </c>
      <c r="CN24" s="3">
        <f t="shared" si="8"/>
        <v>50</v>
      </c>
      <c r="CO24" s="3">
        <f t="shared" si="9"/>
        <v>8.3333333333333339</v>
      </c>
      <c r="CP24" s="3">
        <f t="shared" si="10"/>
        <v>0</v>
      </c>
      <c r="CQ24" s="3">
        <f t="shared" si="11"/>
        <v>0</v>
      </c>
      <c r="CR24" s="3">
        <f t="shared" si="12"/>
        <v>31.25</v>
      </c>
      <c r="CS24">
        <f t="shared" si="13"/>
        <v>25</v>
      </c>
      <c r="CT24">
        <f t="shared" si="14"/>
        <v>25</v>
      </c>
      <c r="CU24">
        <f t="shared" si="15"/>
        <v>23.697916666666664</v>
      </c>
      <c r="CV24">
        <v>1</v>
      </c>
      <c r="CW24">
        <v>0</v>
      </c>
      <c r="CX24">
        <v>0</v>
      </c>
      <c r="CY24">
        <v>0</v>
      </c>
      <c r="CZ24">
        <v>1</v>
      </c>
      <c r="DA24">
        <v>0</v>
      </c>
      <c r="DB24">
        <v>0</v>
      </c>
      <c r="DC24">
        <v>0</v>
      </c>
      <c r="DD24">
        <v>3</v>
      </c>
      <c r="DE24">
        <v>1</v>
      </c>
      <c r="DF24">
        <v>0</v>
      </c>
      <c r="DG24">
        <v>0</v>
      </c>
      <c r="DH24">
        <v>0</v>
      </c>
      <c r="DI24">
        <v>2</v>
      </c>
      <c r="DJ24">
        <v>0</v>
      </c>
      <c r="DK24">
        <f t="shared" si="2"/>
        <v>8</v>
      </c>
      <c r="DL24">
        <v>2</v>
      </c>
      <c r="DM24">
        <v>3</v>
      </c>
      <c r="DN24">
        <v>1</v>
      </c>
      <c r="DO24">
        <v>1</v>
      </c>
      <c r="DP24">
        <v>3</v>
      </c>
      <c r="DQ24">
        <v>2</v>
      </c>
      <c r="DR24">
        <v>3</v>
      </c>
      <c r="DS24">
        <v>3</v>
      </c>
      <c r="DT24">
        <v>2</v>
      </c>
      <c r="DU24">
        <v>1</v>
      </c>
      <c r="DV24">
        <v>2</v>
      </c>
      <c r="DW24">
        <v>3</v>
      </c>
      <c r="DX24">
        <v>1</v>
      </c>
      <c r="DY24">
        <f t="shared" si="16"/>
        <v>27</v>
      </c>
      <c r="DZ24">
        <v>1</v>
      </c>
      <c r="EA24">
        <v>2</v>
      </c>
      <c r="EB24">
        <v>1</v>
      </c>
      <c r="EC24">
        <v>2</v>
      </c>
      <c r="ED24">
        <v>2</v>
      </c>
      <c r="EE24">
        <v>0</v>
      </c>
      <c r="EF24">
        <v>0</v>
      </c>
      <c r="EG24">
        <v>1</v>
      </c>
      <c r="EH24">
        <v>2</v>
      </c>
      <c r="EI24">
        <v>0</v>
      </c>
      <c r="EJ24">
        <v>1</v>
      </c>
      <c r="EK24">
        <v>1</v>
      </c>
      <c r="EL24">
        <v>2</v>
      </c>
      <c r="EM24">
        <v>2</v>
      </c>
      <c r="EN24">
        <v>3</v>
      </c>
      <c r="EO24">
        <v>0</v>
      </c>
      <c r="EP24">
        <v>1</v>
      </c>
      <c r="EQ24">
        <v>2</v>
      </c>
      <c r="ER24">
        <v>2</v>
      </c>
      <c r="ES24">
        <v>1</v>
      </c>
      <c r="ET24">
        <v>3</v>
      </c>
      <c r="EU24">
        <v>1</v>
      </c>
      <c r="EV24">
        <v>4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f t="shared" si="3"/>
        <v>34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f t="shared" si="4"/>
        <v>0</v>
      </c>
      <c r="FO24">
        <f t="shared" si="17"/>
        <v>69</v>
      </c>
      <c r="FP24">
        <v>10</v>
      </c>
      <c r="FQ24">
        <v>5</v>
      </c>
      <c r="FR24">
        <v>3</v>
      </c>
      <c r="FS24">
        <v>5</v>
      </c>
      <c r="FT24">
        <v>1</v>
      </c>
      <c r="FU24">
        <v>2</v>
      </c>
      <c r="FV24">
        <v>5</v>
      </c>
      <c r="FW24">
        <v>5</v>
      </c>
      <c r="FX24">
        <f t="shared" si="18"/>
        <v>26</v>
      </c>
      <c r="FY24">
        <v>0</v>
      </c>
      <c r="FZ24">
        <f t="shared" si="6"/>
        <v>4</v>
      </c>
      <c r="GA24">
        <v>0</v>
      </c>
    </row>
    <row r="25" spans="1:183" x14ac:dyDescent="0.2">
      <c r="A25">
        <v>24</v>
      </c>
      <c r="B25">
        <v>1</v>
      </c>
      <c r="C25">
        <v>1</v>
      </c>
      <c r="D25">
        <v>1</v>
      </c>
      <c r="E25" s="2">
        <v>23288</v>
      </c>
      <c r="F25" s="2">
        <v>44417</v>
      </c>
      <c r="G25" s="3">
        <f t="shared" si="0"/>
        <v>57.833333333333336</v>
      </c>
      <c r="H25">
        <v>48</v>
      </c>
      <c r="I25" s="3">
        <f t="shared" si="1"/>
        <v>9.8333333333333357</v>
      </c>
      <c r="J25">
        <v>0</v>
      </c>
      <c r="K25">
        <v>1</v>
      </c>
      <c r="L25">
        <v>8</v>
      </c>
      <c r="M25">
        <v>0</v>
      </c>
      <c r="N25">
        <v>2</v>
      </c>
      <c r="O25">
        <v>2</v>
      </c>
      <c r="P25">
        <v>1</v>
      </c>
      <c r="Q25">
        <v>1</v>
      </c>
      <c r="R25">
        <v>0</v>
      </c>
      <c r="S25">
        <v>1</v>
      </c>
      <c r="T25">
        <v>1</v>
      </c>
      <c r="U25">
        <v>0</v>
      </c>
      <c r="V25">
        <v>1</v>
      </c>
      <c r="W25">
        <v>1</v>
      </c>
      <c r="X25">
        <v>0</v>
      </c>
      <c r="Y25">
        <v>0</v>
      </c>
      <c r="Z25">
        <v>0</v>
      </c>
      <c r="AA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2</v>
      </c>
      <c r="AI25">
        <f>AJ25*ledd!$B$2+AK25*ledd!$B$3+AL25*ledd!$B$4+AM25*ledd!$B$5+AN25*ledd!$B$6+AO25*ledd!$B$7+AP25*ledd!$B$8+AQ25*ledd!$B$9+AR25*ledd!$B$10+AS25*ledd!$B$11+AT25*ledd!$B$12+AU25*ledd!$B$13+AV25*ledd!$B$14+AW25*ledd!$B$15+AX25*ledd!$B$16</f>
        <v>775</v>
      </c>
      <c r="AJ25">
        <v>0</v>
      </c>
      <c r="AK25">
        <v>100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70</v>
      </c>
      <c r="AV25">
        <v>0</v>
      </c>
      <c r="AW25">
        <v>0</v>
      </c>
      <c r="AX25">
        <v>0</v>
      </c>
      <c r="AY25">
        <v>4</v>
      </c>
      <c r="AZ25" s="3">
        <v>3</v>
      </c>
      <c r="BA25" s="3">
        <v>4</v>
      </c>
      <c r="BB25" s="3">
        <v>4</v>
      </c>
      <c r="BC25" s="3">
        <v>4</v>
      </c>
      <c r="BD25" s="3">
        <v>2</v>
      </c>
      <c r="BE25" s="3">
        <v>1</v>
      </c>
      <c r="BF25" s="3">
        <v>0</v>
      </c>
      <c r="BG25" s="3">
        <v>4</v>
      </c>
      <c r="BH25" s="3">
        <v>2</v>
      </c>
      <c r="BI25" s="3">
        <v>0</v>
      </c>
      <c r="BJ25" s="3">
        <v>3</v>
      </c>
      <c r="BK25" s="3">
        <v>3</v>
      </c>
      <c r="BL25" s="3">
        <v>4</v>
      </c>
      <c r="BM25" s="3">
        <v>3</v>
      </c>
      <c r="BN25" s="3">
        <v>2</v>
      </c>
      <c r="BO25" s="3">
        <v>2</v>
      </c>
      <c r="BP25" s="3">
        <v>2</v>
      </c>
      <c r="BQ25" s="3">
        <v>0</v>
      </c>
      <c r="BR25" s="3">
        <v>2</v>
      </c>
      <c r="BS25" s="3">
        <v>2</v>
      </c>
      <c r="BT25" s="3">
        <v>0</v>
      </c>
      <c r="BU25" s="3">
        <v>1</v>
      </c>
      <c r="BV25" s="3">
        <v>0</v>
      </c>
      <c r="BW25" s="3">
        <v>0</v>
      </c>
      <c r="BX25" s="3">
        <v>0</v>
      </c>
      <c r="BY25" s="3">
        <v>1</v>
      </c>
      <c r="BZ25" s="3">
        <v>1</v>
      </c>
      <c r="CA25" s="3">
        <v>0</v>
      </c>
      <c r="CB25" s="3">
        <v>0</v>
      </c>
      <c r="CC25" s="3">
        <v>3</v>
      </c>
      <c r="CD25" s="3">
        <v>2</v>
      </c>
      <c r="CE25" s="3">
        <v>3</v>
      </c>
      <c r="CF25" s="3">
        <v>3</v>
      </c>
      <c r="CG25" s="3">
        <v>0</v>
      </c>
      <c r="CH25" s="3">
        <v>0</v>
      </c>
      <c r="CI25" s="3">
        <v>0</v>
      </c>
      <c r="CJ25" s="3">
        <v>3</v>
      </c>
      <c r="CK25" s="3">
        <v>3</v>
      </c>
      <c r="CL25" s="3">
        <v>2</v>
      </c>
      <c r="CM25" s="3">
        <f t="shared" si="7"/>
        <v>60</v>
      </c>
      <c r="CN25" s="3">
        <f t="shared" si="8"/>
        <v>70.833333333333329</v>
      </c>
      <c r="CO25" s="3">
        <f t="shared" si="9"/>
        <v>29.166666666666668</v>
      </c>
      <c r="CP25" s="3">
        <f t="shared" si="10"/>
        <v>6.25</v>
      </c>
      <c r="CQ25" s="3">
        <f t="shared" si="11"/>
        <v>8.3333333333333339</v>
      </c>
      <c r="CR25" s="3">
        <f t="shared" si="12"/>
        <v>68.75</v>
      </c>
      <c r="CS25">
        <f t="shared" si="13"/>
        <v>0</v>
      </c>
      <c r="CT25">
        <f t="shared" si="14"/>
        <v>66.666666666666671</v>
      </c>
      <c r="CU25">
        <f t="shared" si="15"/>
        <v>38.75</v>
      </c>
      <c r="CV25">
        <v>0</v>
      </c>
      <c r="CW25">
        <v>2</v>
      </c>
      <c r="CX25">
        <v>2</v>
      </c>
      <c r="CY25">
        <v>0</v>
      </c>
      <c r="CZ25">
        <v>3</v>
      </c>
      <c r="DA25">
        <v>0</v>
      </c>
      <c r="DB25">
        <v>0</v>
      </c>
      <c r="DC25">
        <v>3</v>
      </c>
      <c r="DD25">
        <v>2</v>
      </c>
      <c r="DE25">
        <v>2</v>
      </c>
      <c r="DF25">
        <v>1</v>
      </c>
      <c r="DG25">
        <v>2</v>
      </c>
      <c r="DH25">
        <v>3</v>
      </c>
      <c r="DI25">
        <v>1</v>
      </c>
      <c r="DJ25">
        <v>0</v>
      </c>
      <c r="DK25">
        <f t="shared" si="2"/>
        <v>21</v>
      </c>
      <c r="DL25">
        <v>2</v>
      </c>
      <c r="DM25">
        <v>3</v>
      </c>
      <c r="DN25">
        <v>2</v>
      </c>
      <c r="DO25">
        <v>1</v>
      </c>
      <c r="DP25">
        <v>4</v>
      </c>
      <c r="DQ25">
        <v>2</v>
      </c>
      <c r="DR25">
        <v>3</v>
      </c>
      <c r="DS25">
        <v>3</v>
      </c>
      <c r="DT25">
        <v>1</v>
      </c>
      <c r="DU25">
        <v>3</v>
      </c>
      <c r="DV25">
        <v>2</v>
      </c>
      <c r="DW25">
        <v>3</v>
      </c>
      <c r="DX25">
        <v>0</v>
      </c>
      <c r="DY25">
        <f t="shared" si="16"/>
        <v>29</v>
      </c>
      <c r="DZ25">
        <v>2</v>
      </c>
      <c r="EA25">
        <v>2</v>
      </c>
      <c r="EB25">
        <v>2</v>
      </c>
      <c r="EC25">
        <v>2</v>
      </c>
      <c r="ED25">
        <v>1</v>
      </c>
      <c r="EE25">
        <v>1</v>
      </c>
      <c r="EF25">
        <v>0</v>
      </c>
      <c r="EG25">
        <v>2</v>
      </c>
      <c r="EH25">
        <v>2</v>
      </c>
      <c r="EI25">
        <v>3</v>
      </c>
      <c r="EJ25">
        <v>2</v>
      </c>
      <c r="EK25">
        <v>2</v>
      </c>
      <c r="EL25">
        <v>2</v>
      </c>
      <c r="EM25">
        <v>3</v>
      </c>
      <c r="EN25">
        <v>3</v>
      </c>
      <c r="EO25">
        <v>4</v>
      </c>
      <c r="EP25">
        <v>3</v>
      </c>
      <c r="EQ25">
        <v>4</v>
      </c>
      <c r="ER25">
        <v>3</v>
      </c>
      <c r="ES25">
        <v>1</v>
      </c>
      <c r="ET25">
        <v>3</v>
      </c>
      <c r="EU25">
        <v>2</v>
      </c>
      <c r="EV25">
        <v>3</v>
      </c>
      <c r="EW25">
        <v>3</v>
      </c>
      <c r="EX25">
        <v>2</v>
      </c>
      <c r="EY25">
        <v>3</v>
      </c>
      <c r="EZ25">
        <v>2</v>
      </c>
      <c r="FA25">
        <v>3</v>
      </c>
      <c r="FB25">
        <v>2</v>
      </c>
      <c r="FC25">
        <v>1</v>
      </c>
      <c r="FD25">
        <v>1</v>
      </c>
      <c r="FE25">
        <v>0</v>
      </c>
      <c r="FF25">
        <v>4</v>
      </c>
      <c r="FG25">
        <f t="shared" si="3"/>
        <v>73</v>
      </c>
      <c r="FH25">
        <v>1</v>
      </c>
      <c r="FI25">
        <v>1</v>
      </c>
      <c r="FJ25">
        <v>2</v>
      </c>
      <c r="FK25">
        <v>3</v>
      </c>
      <c r="FL25">
        <v>4</v>
      </c>
      <c r="FM25">
        <v>2</v>
      </c>
      <c r="FN25">
        <f t="shared" si="4"/>
        <v>13</v>
      </c>
      <c r="FO25">
        <f t="shared" si="17"/>
        <v>136</v>
      </c>
      <c r="FP25">
        <v>19</v>
      </c>
      <c r="FQ25">
        <v>3</v>
      </c>
      <c r="FR25">
        <v>3</v>
      </c>
      <c r="FS25">
        <v>4</v>
      </c>
      <c r="FT25">
        <v>0</v>
      </c>
      <c r="FU25">
        <v>1</v>
      </c>
      <c r="FV25">
        <v>4</v>
      </c>
      <c r="FW25">
        <v>6</v>
      </c>
      <c r="FX25">
        <f t="shared" si="18"/>
        <v>21</v>
      </c>
      <c r="FY25">
        <v>2</v>
      </c>
      <c r="FZ25">
        <f t="shared" si="6"/>
        <v>3</v>
      </c>
      <c r="GA25">
        <v>0</v>
      </c>
    </row>
    <row r="26" spans="1:183" x14ac:dyDescent="0.2">
      <c r="A26">
        <v>25</v>
      </c>
      <c r="B26">
        <v>1</v>
      </c>
      <c r="C26">
        <v>1</v>
      </c>
      <c r="D26">
        <v>1</v>
      </c>
      <c r="E26" s="2">
        <v>18016</v>
      </c>
      <c r="F26" s="2">
        <v>44421</v>
      </c>
      <c r="G26" s="3">
        <f t="shared" si="0"/>
        <v>72.25</v>
      </c>
      <c r="H26">
        <v>58</v>
      </c>
      <c r="I26" s="3">
        <f t="shared" si="1"/>
        <v>14.25</v>
      </c>
      <c r="J26">
        <v>0</v>
      </c>
      <c r="K26">
        <v>1</v>
      </c>
      <c r="L26">
        <v>0</v>
      </c>
      <c r="M26">
        <v>0</v>
      </c>
      <c r="N26">
        <v>2</v>
      </c>
      <c r="O26">
        <v>1</v>
      </c>
      <c r="P26">
        <v>4</v>
      </c>
      <c r="Q26">
        <v>1</v>
      </c>
      <c r="R26">
        <v>1</v>
      </c>
      <c r="S26">
        <v>1</v>
      </c>
      <c r="T26">
        <v>1</v>
      </c>
      <c r="U26">
        <v>0</v>
      </c>
      <c r="V26">
        <v>1</v>
      </c>
      <c r="W26">
        <v>1</v>
      </c>
      <c r="X26">
        <v>3</v>
      </c>
      <c r="Y26">
        <v>3</v>
      </c>
      <c r="Z26">
        <v>0</v>
      </c>
      <c r="AA26">
        <v>2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f>AJ26*ledd!$B$2+AK26*ledd!$B$3+AL26*ledd!$B$4+AM26*ledd!$B$5+AN26*ledd!$B$6+AO26*ledd!$B$7+AP26*ledd!$B$8+AQ26*ledd!$B$9+AR26*ledd!$B$10+AS26*ledd!$B$11+AT26*ledd!$B$12+AU26*ledd!$B$13+AV26*ledd!$B$14+AW26*ledd!$B$15+AX26*ledd!$B$16</f>
        <v>1295</v>
      </c>
      <c r="AJ26">
        <v>800</v>
      </c>
      <c r="AK26">
        <v>500</v>
      </c>
      <c r="AL26">
        <v>0</v>
      </c>
      <c r="AM26">
        <v>0</v>
      </c>
      <c r="AN26">
        <v>0</v>
      </c>
      <c r="AO26">
        <v>0</v>
      </c>
      <c r="AP26">
        <v>4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3</v>
      </c>
      <c r="AZ26" s="3">
        <v>2</v>
      </c>
      <c r="BA26" s="3">
        <v>1</v>
      </c>
      <c r="BB26" s="3">
        <v>0</v>
      </c>
      <c r="BC26" s="3">
        <v>3</v>
      </c>
      <c r="BD26" s="3">
        <v>2</v>
      </c>
      <c r="BE26" s="3">
        <v>1</v>
      </c>
      <c r="BF26" s="3">
        <v>1</v>
      </c>
      <c r="BG26" s="3">
        <v>0</v>
      </c>
      <c r="BH26" s="3">
        <v>2</v>
      </c>
      <c r="BI26" s="3">
        <v>2</v>
      </c>
      <c r="BJ26" s="3">
        <v>1</v>
      </c>
      <c r="BK26" s="3">
        <v>1</v>
      </c>
      <c r="BL26" s="3">
        <v>0</v>
      </c>
      <c r="BM26" s="3">
        <v>1</v>
      </c>
      <c r="BN26" s="3">
        <v>1</v>
      </c>
      <c r="BO26" s="3">
        <v>2</v>
      </c>
      <c r="BP26" s="3">
        <v>1</v>
      </c>
      <c r="BQ26" s="3">
        <v>2</v>
      </c>
      <c r="BR26" s="3">
        <v>2</v>
      </c>
      <c r="BS26" s="3">
        <v>0</v>
      </c>
      <c r="BT26" s="3">
        <v>0</v>
      </c>
      <c r="BU26" s="3">
        <v>1</v>
      </c>
      <c r="BV26" s="3">
        <v>0</v>
      </c>
      <c r="BW26" s="3">
        <v>0</v>
      </c>
      <c r="BX26" s="3">
        <v>0</v>
      </c>
      <c r="BY26" s="3">
        <v>0</v>
      </c>
      <c r="BZ26" s="3">
        <v>1</v>
      </c>
      <c r="CA26" s="3">
        <v>0</v>
      </c>
      <c r="CB26" s="3">
        <v>1</v>
      </c>
      <c r="CC26" s="3">
        <v>2</v>
      </c>
      <c r="CD26" s="3">
        <v>1</v>
      </c>
      <c r="CE26" s="3">
        <v>1</v>
      </c>
      <c r="CF26" s="3">
        <v>2</v>
      </c>
      <c r="CG26" s="3">
        <v>2</v>
      </c>
      <c r="CH26" s="3">
        <v>2</v>
      </c>
      <c r="CI26" s="3">
        <v>2</v>
      </c>
      <c r="CJ26" s="3">
        <v>3</v>
      </c>
      <c r="CK26" s="3">
        <v>3</v>
      </c>
      <c r="CL26" s="3">
        <v>2</v>
      </c>
      <c r="CM26" s="3">
        <f t="shared" si="7"/>
        <v>35</v>
      </c>
      <c r="CN26" s="3">
        <f t="shared" si="8"/>
        <v>25</v>
      </c>
      <c r="CO26" s="3">
        <f t="shared" si="9"/>
        <v>25</v>
      </c>
      <c r="CP26" s="3">
        <f t="shared" si="10"/>
        <v>0</v>
      </c>
      <c r="CQ26" s="3">
        <f t="shared" si="11"/>
        <v>16.666666666666668</v>
      </c>
      <c r="CR26" s="3">
        <f t="shared" si="12"/>
        <v>37.5</v>
      </c>
      <c r="CS26">
        <f t="shared" si="13"/>
        <v>50</v>
      </c>
      <c r="CT26">
        <f t="shared" si="14"/>
        <v>66.666666666666671</v>
      </c>
      <c r="CU26">
        <f t="shared" si="15"/>
        <v>31.979166666666671</v>
      </c>
      <c r="CV26">
        <v>0</v>
      </c>
      <c r="CW26">
        <v>0</v>
      </c>
      <c r="CX26">
        <v>0</v>
      </c>
      <c r="CY26">
        <v>0</v>
      </c>
      <c r="CZ26">
        <v>2</v>
      </c>
      <c r="DA26">
        <v>0</v>
      </c>
      <c r="DB26">
        <v>0</v>
      </c>
      <c r="DC26">
        <v>3</v>
      </c>
      <c r="DD26">
        <v>2</v>
      </c>
      <c r="DE26">
        <v>3</v>
      </c>
      <c r="DF26">
        <v>0</v>
      </c>
      <c r="DG26">
        <v>0</v>
      </c>
      <c r="DH26">
        <v>2</v>
      </c>
      <c r="DI26">
        <v>0</v>
      </c>
      <c r="DJ26">
        <v>0</v>
      </c>
      <c r="DK26">
        <f t="shared" si="2"/>
        <v>12</v>
      </c>
      <c r="DL26">
        <v>1</v>
      </c>
      <c r="DM26">
        <v>4</v>
      </c>
      <c r="DN26">
        <v>0</v>
      </c>
      <c r="DO26">
        <v>0</v>
      </c>
      <c r="DP26">
        <v>1</v>
      </c>
      <c r="DQ26">
        <v>2</v>
      </c>
      <c r="DR26">
        <v>1</v>
      </c>
      <c r="DS26">
        <v>0</v>
      </c>
      <c r="DT26">
        <v>2</v>
      </c>
      <c r="DU26">
        <v>0</v>
      </c>
      <c r="DV26">
        <v>3</v>
      </c>
      <c r="DW26">
        <v>3</v>
      </c>
      <c r="DX26">
        <v>2</v>
      </c>
      <c r="DY26">
        <f t="shared" si="16"/>
        <v>19</v>
      </c>
      <c r="DZ26">
        <v>1</v>
      </c>
      <c r="EA26">
        <v>1</v>
      </c>
      <c r="EB26">
        <v>1</v>
      </c>
      <c r="EC26">
        <v>2</v>
      </c>
      <c r="ED26">
        <v>1</v>
      </c>
      <c r="EE26">
        <v>3</v>
      </c>
      <c r="EF26">
        <v>3</v>
      </c>
      <c r="EG26">
        <v>3</v>
      </c>
      <c r="EH26">
        <v>1</v>
      </c>
      <c r="EI26">
        <v>3</v>
      </c>
      <c r="EJ26">
        <v>3</v>
      </c>
      <c r="EK26">
        <v>3</v>
      </c>
      <c r="EL26">
        <v>2</v>
      </c>
      <c r="EM26">
        <v>3</v>
      </c>
      <c r="EN26">
        <v>2</v>
      </c>
      <c r="EO26">
        <v>3</v>
      </c>
      <c r="EP26">
        <v>2</v>
      </c>
      <c r="EQ26">
        <v>3</v>
      </c>
      <c r="ER26">
        <v>3</v>
      </c>
      <c r="ES26">
        <v>0</v>
      </c>
      <c r="ET26">
        <v>3</v>
      </c>
      <c r="EU26">
        <v>2</v>
      </c>
      <c r="EV26">
        <v>2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f t="shared" si="3"/>
        <v>50</v>
      </c>
      <c r="FH26">
        <v>0</v>
      </c>
      <c r="FI26">
        <v>0</v>
      </c>
      <c r="FJ26">
        <v>1</v>
      </c>
      <c r="FK26">
        <v>0</v>
      </c>
      <c r="FL26">
        <v>0</v>
      </c>
      <c r="FM26">
        <v>1</v>
      </c>
      <c r="FN26">
        <f t="shared" si="4"/>
        <v>2</v>
      </c>
      <c r="FO26">
        <f t="shared" si="17"/>
        <v>83</v>
      </c>
      <c r="FP26">
        <v>12</v>
      </c>
      <c r="FQ26">
        <v>4</v>
      </c>
      <c r="FR26">
        <v>3</v>
      </c>
      <c r="FS26">
        <v>2</v>
      </c>
      <c r="FT26">
        <v>2</v>
      </c>
      <c r="FU26">
        <v>2</v>
      </c>
      <c r="FV26">
        <v>2</v>
      </c>
      <c r="FW26">
        <v>6</v>
      </c>
      <c r="FX26">
        <f t="shared" si="18"/>
        <v>21</v>
      </c>
      <c r="FY26">
        <v>0</v>
      </c>
      <c r="FZ26">
        <f t="shared" si="6"/>
        <v>3</v>
      </c>
      <c r="GA26">
        <v>0</v>
      </c>
    </row>
    <row r="27" spans="1:183" x14ac:dyDescent="0.2">
      <c r="A27">
        <v>26</v>
      </c>
      <c r="B27">
        <v>1</v>
      </c>
      <c r="C27">
        <v>1</v>
      </c>
      <c r="D27">
        <v>1</v>
      </c>
      <c r="E27" s="2">
        <v>19804</v>
      </c>
      <c r="F27" s="2">
        <v>44427</v>
      </c>
      <c r="G27" s="3">
        <f t="shared" si="0"/>
        <v>67.333333333333329</v>
      </c>
      <c r="H27">
        <v>57</v>
      </c>
      <c r="I27" s="3">
        <f t="shared" si="1"/>
        <v>10.333333333333329</v>
      </c>
      <c r="J27">
        <v>0</v>
      </c>
      <c r="K27">
        <v>1</v>
      </c>
      <c r="L27">
        <v>2</v>
      </c>
      <c r="M27">
        <v>0</v>
      </c>
      <c r="N27">
        <v>2</v>
      </c>
      <c r="O27">
        <v>1</v>
      </c>
      <c r="P27">
        <v>0</v>
      </c>
      <c r="Q27">
        <v>4</v>
      </c>
      <c r="R27">
        <v>3</v>
      </c>
      <c r="S27">
        <v>1</v>
      </c>
      <c r="T27">
        <v>1</v>
      </c>
      <c r="U27">
        <v>1</v>
      </c>
      <c r="V27">
        <v>1</v>
      </c>
      <c r="W27">
        <v>1</v>
      </c>
      <c r="X27">
        <v>2</v>
      </c>
      <c r="Y27">
        <v>2</v>
      </c>
      <c r="Z27">
        <v>0</v>
      </c>
      <c r="AA27">
        <v>2</v>
      </c>
      <c r="AB27">
        <v>0</v>
      </c>
      <c r="AC27">
        <v>0</v>
      </c>
      <c r="AD27">
        <v>6</v>
      </c>
      <c r="AE27">
        <v>1</v>
      </c>
      <c r="AF27">
        <v>0</v>
      </c>
      <c r="AG27">
        <v>0</v>
      </c>
      <c r="AH27">
        <v>1</v>
      </c>
      <c r="AI27">
        <f>AJ27*ledd!$B$2+AK27*ledd!$B$3+AL27*ledd!$B$4+AM27*ledd!$B$5+AN27*ledd!$B$6+AO27*ledd!$B$7+AP27*ledd!$B$8+AQ27*ledd!$B$9+AR27*ledd!$B$10+AS27*ledd!$B$11+AT27*ledd!$B$12+AU27*ledd!$B$13+AV27*ledd!$B$14+AW27*ledd!$B$15+AX27*ledd!$B$16</f>
        <v>350</v>
      </c>
      <c r="AJ27">
        <v>250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100</v>
      </c>
      <c r="AW27">
        <v>0</v>
      </c>
      <c r="AX27">
        <v>0</v>
      </c>
      <c r="AY27">
        <v>3</v>
      </c>
      <c r="AZ27" s="3">
        <v>3</v>
      </c>
      <c r="BA27" s="3">
        <v>1</v>
      </c>
      <c r="BB27" s="3">
        <v>2</v>
      </c>
      <c r="BC27" s="3">
        <v>1</v>
      </c>
      <c r="BD27" s="3">
        <v>0</v>
      </c>
      <c r="BE27" s="3">
        <v>2</v>
      </c>
      <c r="BF27" s="3">
        <v>2</v>
      </c>
      <c r="BG27" s="3">
        <v>1</v>
      </c>
      <c r="BH27" s="3">
        <v>1</v>
      </c>
      <c r="BI27" s="3">
        <v>0</v>
      </c>
      <c r="BJ27" s="3">
        <v>0</v>
      </c>
      <c r="BK27" s="3">
        <v>0</v>
      </c>
      <c r="BL27" s="3">
        <v>0</v>
      </c>
      <c r="BM27" s="3">
        <v>3</v>
      </c>
      <c r="BN27" s="3">
        <v>0</v>
      </c>
      <c r="BO27" s="3">
        <v>0</v>
      </c>
      <c r="BP27" s="3">
        <v>0</v>
      </c>
      <c r="BQ27" s="3">
        <v>0</v>
      </c>
      <c r="BR27" s="3">
        <v>1</v>
      </c>
      <c r="BS27" s="3">
        <v>1</v>
      </c>
      <c r="BT27" s="3">
        <v>0</v>
      </c>
      <c r="BU27" s="3">
        <v>2</v>
      </c>
      <c r="BV27" s="3">
        <v>0</v>
      </c>
      <c r="BW27" s="3">
        <v>0</v>
      </c>
      <c r="BX27" s="3">
        <v>0</v>
      </c>
      <c r="BY27" s="3">
        <v>0</v>
      </c>
      <c r="BZ27" s="3">
        <v>1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2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f t="shared" si="7"/>
        <v>32.5</v>
      </c>
      <c r="CN27" s="3">
        <f t="shared" si="8"/>
        <v>12.5</v>
      </c>
      <c r="CO27" s="3">
        <f t="shared" si="9"/>
        <v>16.666666666666668</v>
      </c>
      <c r="CP27" s="3">
        <f t="shared" si="10"/>
        <v>0</v>
      </c>
      <c r="CQ27" s="3">
        <f t="shared" si="11"/>
        <v>8.3333333333333339</v>
      </c>
      <c r="CR27" s="3">
        <f t="shared" si="12"/>
        <v>0</v>
      </c>
      <c r="CS27">
        <f t="shared" si="13"/>
        <v>16.666666666666668</v>
      </c>
      <c r="CT27">
        <f t="shared" si="14"/>
        <v>0</v>
      </c>
      <c r="CU27">
        <f t="shared" si="15"/>
        <v>10.833333333333334</v>
      </c>
      <c r="CV27">
        <v>0</v>
      </c>
      <c r="CW27">
        <v>0</v>
      </c>
      <c r="CX27">
        <v>1</v>
      </c>
      <c r="CY27">
        <v>0</v>
      </c>
      <c r="CZ27">
        <v>0</v>
      </c>
      <c r="DA27">
        <v>0</v>
      </c>
      <c r="DB27">
        <v>0</v>
      </c>
      <c r="DC27">
        <v>2</v>
      </c>
      <c r="DD27">
        <v>0</v>
      </c>
      <c r="DE27">
        <v>1</v>
      </c>
      <c r="DF27">
        <v>2</v>
      </c>
      <c r="DG27">
        <v>0</v>
      </c>
      <c r="DH27">
        <v>0</v>
      </c>
      <c r="DI27">
        <v>2</v>
      </c>
      <c r="DJ27">
        <v>0</v>
      </c>
      <c r="DK27">
        <f t="shared" si="2"/>
        <v>8</v>
      </c>
      <c r="DL27">
        <v>2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3</v>
      </c>
      <c r="DS27">
        <v>1</v>
      </c>
      <c r="DT27">
        <v>0</v>
      </c>
      <c r="DU27">
        <v>1</v>
      </c>
      <c r="DV27">
        <v>0</v>
      </c>
      <c r="DW27">
        <v>2</v>
      </c>
      <c r="DX27">
        <v>0</v>
      </c>
      <c r="DY27">
        <f t="shared" si="16"/>
        <v>9</v>
      </c>
      <c r="DZ27">
        <v>2</v>
      </c>
      <c r="EA27">
        <v>2</v>
      </c>
      <c r="EB27">
        <v>1</v>
      </c>
      <c r="EC27">
        <v>2</v>
      </c>
      <c r="ED27">
        <v>2</v>
      </c>
      <c r="EE27">
        <v>1</v>
      </c>
      <c r="EF27">
        <v>1</v>
      </c>
      <c r="EG27">
        <v>2</v>
      </c>
      <c r="EH27">
        <v>2</v>
      </c>
      <c r="EI27">
        <v>2</v>
      </c>
      <c r="EJ27">
        <v>2</v>
      </c>
      <c r="EK27">
        <v>2</v>
      </c>
      <c r="EL27">
        <v>3</v>
      </c>
      <c r="EM27">
        <v>1</v>
      </c>
      <c r="EN27">
        <v>2</v>
      </c>
      <c r="EO27">
        <v>1</v>
      </c>
      <c r="EP27">
        <v>1</v>
      </c>
      <c r="EQ27">
        <v>0</v>
      </c>
      <c r="ER27">
        <v>1</v>
      </c>
      <c r="ES27">
        <v>1</v>
      </c>
      <c r="ET27">
        <v>0</v>
      </c>
      <c r="EU27">
        <v>1</v>
      </c>
      <c r="EV27">
        <v>2</v>
      </c>
      <c r="EW27">
        <v>1</v>
      </c>
      <c r="EX27">
        <v>1</v>
      </c>
      <c r="EY27">
        <v>1</v>
      </c>
      <c r="EZ27">
        <v>1</v>
      </c>
      <c r="FA27">
        <v>2</v>
      </c>
      <c r="FB27">
        <v>1</v>
      </c>
      <c r="FC27">
        <v>0</v>
      </c>
      <c r="FD27">
        <v>0</v>
      </c>
      <c r="FE27">
        <v>0</v>
      </c>
      <c r="FF27">
        <v>1</v>
      </c>
      <c r="FG27">
        <f t="shared" si="3"/>
        <v>42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f t="shared" si="4"/>
        <v>0</v>
      </c>
      <c r="FO27">
        <f t="shared" si="17"/>
        <v>59</v>
      </c>
      <c r="FP27">
        <v>3</v>
      </c>
      <c r="FQ27">
        <v>5</v>
      </c>
      <c r="FR27">
        <v>3</v>
      </c>
      <c r="FS27">
        <v>2</v>
      </c>
      <c r="FT27">
        <v>2</v>
      </c>
      <c r="FU27">
        <v>2</v>
      </c>
      <c r="FV27">
        <v>5</v>
      </c>
      <c r="FW27">
        <v>6</v>
      </c>
      <c r="FX27">
        <f t="shared" si="18"/>
        <v>25</v>
      </c>
      <c r="FY27">
        <v>0</v>
      </c>
      <c r="FZ27">
        <f t="shared" si="6"/>
        <v>2</v>
      </c>
      <c r="GA27">
        <v>1</v>
      </c>
    </row>
    <row r="28" spans="1:183" x14ac:dyDescent="0.2">
      <c r="A28">
        <v>27</v>
      </c>
      <c r="B28">
        <v>1</v>
      </c>
      <c r="C28">
        <v>1</v>
      </c>
      <c r="D28">
        <v>0</v>
      </c>
      <c r="E28" s="2">
        <v>23858</v>
      </c>
      <c r="F28" s="2">
        <v>44427</v>
      </c>
      <c r="G28" s="3">
        <f t="shared" si="0"/>
        <v>56.25</v>
      </c>
      <c r="H28">
        <v>56</v>
      </c>
      <c r="I28" s="3">
        <f t="shared" si="1"/>
        <v>0.25</v>
      </c>
      <c r="J28">
        <v>0</v>
      </c>
      <c r="K28">
        <v>2</v>
      </c>
      <c r="L28">
        <v>8</v>
      </c>
      <c r="M28">
        <v>0</v>
      </c>
      <c r="N28">
        <v>2</v>
      </c>
      <c r="O28">
        <v>0</v>
      </c>
      <c r="P28">
        <v>2</v>
      </c>
      <c r="Q28">
        <v>1</v>
      </c>
      <c r="R28">
        <v>0</v>
      </c>
      <c r="S28">
        <v>0</v>
      </c>
      <c r="T28">
        <v>0</v>
      </c>
      <c r="U28">
        <v>1</v>
      </c>
      <c r="V28">
        <v>1</v>
      </c>
      <c r="W28">
        <v>1</v>
      </c>
      <c r="X28">
        <v>1</v>
      </c>
      <c r="Y28">
        <v>2</v>
      </c>
      <c r="Z28">
        <v>0</v>
      </c>
      <c r="AA28">
        <v>2</v>
      </c>
      <c r="AB28">
        <v>0</v>
      </c>
      <c r="AC28">
        <v>0</v>
      </c>
      <c r="AD28">
        <v>6</v>
      </c>
      <c r="AE28">
        <v>0</v>
      </c>
      <c r="AF28">
        <v>0</v>
      </c>
      <c r="AG28">
        <v>0</v>
      </c>
      <c r="AH28">
        <v>0</v>
      </c>
      <c r="AI28">
        <f>AJ28*ledd!$B$2+AK28*ledd!$B$3+AL28*ledd!$B$4+AM28*ledd!$B$5+AN28*ledd!$B$6+AO28*ledd!$B$7+AP28*ledd!$B$8+AQ28*ledd!$B$9+AR28*ledd!$B$10+AS28*ledd!$B$11+AT28*ledd!$B$12+AU28*ledd!$B$13+AV28*ledd!$B$14+AW28*ledd!$B$15+AX28*ledd!$B$16</f>
        <v>300</v>
      </c>
      <c r="AJ28">
        <v>300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4</v>
      </c>
      <c r="AZ28" s="3">
        <v>4</v>
      </c>
      <c r="BA28" s="3">
        <v>3</v>
      </c>
      <c r="BB28" s="3">
        <v>3</v>
      </c>
      <c r="BC28" s="3">
        <v>3</v>
      </c>
      <c r="BD28" s="3">
        <v>2</v>
      </c>
      <c r="BE28" s="3">
        <v>3</v>
      </c>
      <c r="BF28" s="3">
        <v>3</v>
      </c>
      <c r="BG28" s="3">
        <v>2</v>
      </c>
      <c r="BH28" s="3">
        <v>2</v>
      </c>
      <c r="BI28" s="3">
        <v>2</v>
      </c>
      <c r="BJ28" s="3">
        <v>1</v>
      </c>
      <c r="BK28" s="3">
        <v>2</v>
      </c>
      <c r="BL28" s="3">
        <v>3</v>
      </c>
      <c r="BM28" s="3">
        <v>3</v>
      </c>
      <c r="BN28" s="3">
        <v>0</v>
      </c>
      <c r="BO28" s="3">
        <v>0</v>
      </c>
      <c r="BP28" s="3">
        <v>1</v>
      </c>
      <c r="BQ28" s="3">
        <v>0</v>
      </c>
      <c r="BR28" s="3">
        <v>1</v>
      </c>
      <c r="BS28" s="3">
        <v>1</v>
      </c>
      <c r="BT28" s="3">
        <v>1</v>
      </c>
      <c r="BU28" s="3">
        <v>2</v>
      </c>
      <c r="BV28" s="3">
        <v>0</v>
      </c>
      <c r="BW28" s="3">
        <v>0</v>
      </c>
      <c r="BX28" s="3">
        <v>0</v>
      </c>
      <c r="BY28" s="3">
        <v>2</v>
      </c>
      <c r="BZ28" s="3">
        <v>0</v>
      </c>
      <c r="CA28" s="3">
        <v>0</v>
      </c>
      <c r="CB28" s="3">
        <v>0</v>
      </c>
      <c r="CC28" s="3">
        <v>0</v>
      </c>
      <c r="CD28" s="3">
        <v>2</v>
      </c>
      <c r="CE28" s="3">
        <v>1</v>
      </c>
      <c r="CF28" s="3">
        <v>1</v>
      </c>
      <c r="CG28" s="3">
        <v>2</v>
      </c>
      <c r="CH28" s="3">
        <v>0</v>
      </c>
      <c r="CI28" s="3">
        <v>0</v>
      </c>
      <c r="CJ28" s="3">
        <v>3</v>
      </c>
      <c r="CK28" s="3">
        <v>4</v>
      </c>
      <c r="CL28" s="3">
        <v>3</v>
      </c>
      <c r="CM28" s="3">
        <f t="shared" si="7"/>
        <v>67.5</v>
      </c>
      <c r="CN28" s="3">
        <f t="shared" si="8"/>
        <v>37.5</v>
      </c>
      <c r="CO28" s="3">
        <f t="shared" si="9"/>
        <v>25</v>
      </c>
      <c r="CP28" s="3">
        <f t="shared" si="10"/>
        <v>12.5</v>
      </c>
      <c r="CQ28" s="3">
        <f t="shared" si="11"/>
        <v>0</v>
      </c>
      <c r="CR28" s="3">
        <f t="shared" si="12"/>
        <v>25</v>
      </c>
      <c r="CS28">
        <f t="shared" si="13"/>
        <v>16.666666666666668</v>
      </c>
      <c r="CT28">
        <f t="shared" si="14"/>
        <v>83.333333333333329</v>
      </c>
      <c r="CU28">
        <f t="shared" si="15"/>
        <v>33.4375</v>
      </c>
      <c r="CV28">
        <v>1</v>
      </c>
      <c r="CW28">
        <v>1</v>
      </c>
      <c r="CX28">
        <v>2</v>
      </c>
      <c r="CY28">
        <v>0</v>
      </c>
      <c r="CZ28">
        <v>3</v>
      </c>
      <c r="DA28">
        <v>0</v>
      </c>
      <c r="DB28">
        <v>0</v>
      </c>
      <c r="DC28">
        <v>3</v>
      </c>
      <c r="DD28">
        <v>1</v>
      </c>
      <c r="DE28">
        <v>2</v>
      </c>
      <c r="DF28">
        <v>2</v>
      </c>
      <c r="DG28">
        <v>3</v>
      </c>
      <c r="DH28">
        <v>1</v>
      </c>
      <c r="DI28">
        <v>3</v>
      </c>
      <c r="DJ28">
        <v>0</v>
      </c>
      <c r="DK28">
        <f t="shared" si="2"/>
        <v>22</v>
      </c>
      <c r="DL28">
        <v>2</v>
      </c>
      <c r="DM28">
        <v>2</v>
      </c>
      <c r="DN28">
        <v>0</v>
      </c>
      <c r="DO28">
        <v>0</v>
      </c>
      <c r="DP28">
        <v>1</v>
      </c>
      <c r="DQ28">
        <v>1</v>
      </c>
      <c r="DR28">
        <v>2</v>
      </c>
      <c r="DS28">
        <v>2</v>
      </c>
      <c r="DT28">
        <v>0</v>
      </c>
      <c r="DU28">
        <v>2</v>
      </c>
      <c r="DV28">
        <v>0</v>
      </c>
      <c r="DW28">
        <v>4</v>
      </c>
      <c r="DX28">
        <v>1</v>
      </c>
      <c r="DY28">
        <f t="shared" si="16"/>
        <v>17</v>
      </c>
      <c r="DZ28">
        <v>0</v>
      </c>
      <c r="EA28">
        <v>3</v>
      </c>
      <c r="EB28">
        <v>1</v>
      </c>
      <c r="EC28">
        <v>1</v>
      </c>
      <c r="ED28">
        <v>1</v>
      </c>
      <c r="EE28">
        <v>2</v>
      </c>
      <c r="EF28">
        <v>2</v>
      </c>
      <c r="EG28">
        <v>2</v>
      </c>
      <c r="EH28">
        <v>2</v>
      </c>
      <c r="EI28">
        <v>2</v>
      </c>
      <c r="EJ28">
        <v>2</v>
      </c>
      <c r="EK28">
        <v>1</v>
      </c>
      <c r="EL28">
        <v>1</v>
      </c>
      <c r="EM28">
        <v>2</v>
      </c>
      <c r="EN28">
        <v>2</v>
      </c>
      <c r="EO28">
        <v>2</v>
      </c>
      <c r="EP28">
        <v>2</v>
      </c>
      <c r="EQ28">
        <v>1</v>
      </c>
      <c r="ER28">
        <v>1</v>
      </c>
      <c r="ES28">
        <v>1</v>
      </c>
      <c r="ET28">
        <v>3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1</v>
      </c>
      <c r="FD28">
        <v>0</v>
      </c>
      <c r="FE28">
        <v>0</v>
      </c>
      <c r="FF28">
        <v>1</v>
      </c>
      <c r="FG28">
        <f t="shared" si="3"/>
        <v>36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f t="shared" si="4"/>
        <v>0</v>
      </c>
      <c r="FO28">
        <f t="shared" si="17"/>
        <v>75</v>
      </c>
      <c r="FP28">
        <v>13</v>
      </c>
      <c r="FQ28">
        <v>5</v>
      </c>
      <c r="FR28">
        <v>3</v>
      </c>
      <c r="FS28">
        <v>5</v>
      </c>
      <c r="FT28">
        <v>1</v>
      </c>
      <c r="FU28">
        <v>2</v>
      </c>
      <c r="FV28">
        <v>3</v>
      </c>
      <c r="FW28">
        <v>6</v>
      </c>
      <c r="FX28">
        <f t="shared" si="18"/>
        <v>25</v>
      </c>
      <c r="FY28">
        <v>1</v>
      </c>
      <c r="FZ28">
        <f t="shared" si="6"/>
        <v>2</v>
      </c>
      <c r="GA28">
        <v>0</v>
      </c>
    </row>
    <row r="29" spans="1:183" x14ac:dyDescent="0.2">
      <c r="A29">
        <v>28</v>
      </c>
      <c r="B29">
        <v>1</v>
      </c>
      <c r="C29">
        <v>1</v>
      </c>
      <c r="D29">
        <v>0</v>
      </c>
      <c r="E29" s="2">
        <v>22670</v>
      </c>
      <c r="F29" s="2">
        <v>44428</v>
      </c>
      <c r="G29" s="3">
        <f t="shared" si="0"/>
        <v>59.5</v>
      </c>
      <c r="H29">
        <v>42</v>
      </c>
      <c r="I29" s="3">
        <f t="shared" si="1"/>
        <v>17.5</v>
      </c>
      <c r="J29">
        <v>0</v>
      </c>
      <c r="K29">
        <v>1</v>
      </c>
      <c r="L29">
        <v>8</v>
      </c>
      <c r="M29">
        <v>0</v>
      </c>
      <c r="N29">
        <v>2</v>
      </c>
      <c r="O29">
        <v>1</v>
      </c>
      <c r="P29">
        <v>1</v>
      </c>
      <c r="Q29">
        <v>2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3</v>
      </c>
      <c r="Y29">
        <v>0</v>
      </c>
      <c r="Z29">
        <v>0</v>
      </c>
      <c r="AA29">
        <v>0</v>
      </c>
      <c r="AC29">
        <v>0</v>
      </c>
      <c r="AD29">
        <v>6</v>
      </c>
      <c r="AE29">
        <v>1</v>
      </c>
      <c r="AF29">
        <v>0</v>
      </c>
      <c r="AG29">
        <v>0</v>
      </c>
      <c r="AH29">
        <v>0</v>
      </c>
      <c r="AI29">
        <f>AJ29*ledd!$B$2+AK29*ledd!$B$3+AL29*ledd!$B$4+AM29*ledd!$B$5+AN29*ledd!$B$6+AO29*ledd!$B$7+AP29*ledd!$B$8+AQ29*ledd!$B$9+AR29*ledd!$B$10+AS29*ledd!$B$11+AT29*ledd!$B$12+AU29*ledd!$B$13+AV29*ledd!$B$14+AW29*ledd!$B$15+AX29*ledd!$B$16</f>
        <v>1216.5</v>
      </c>
      <c r="AJ29">
        <v>225</v>
      </c>
      <c r="AK29">
        <v>100</v>
      </c>
      <c r="AL29">
        <v>0</v>
      </c>
      <c r="AM29">
        <v>0</v>
      </c>
      <c r="AN29">
        <v>0</v>
      </c>
      <c r="AO29">
        <v>40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100</v>
      </c>
      <c r="AX29">
        <v>50</v>
      </c>
      <c r="AY29">
        <v>4</v>
      </c>
      <c r="AZ29" s="3">
        <v>2</v>
      </c>
      <c r="BA29" s="3">
        <v>3</v>
      </c>
      <c r="BB29" s="3">
        <v>1</v>
      </c>
      <c r="BC29" s="3">
        <v>2</v>
      </c>
      <c r="BD29" s="3">
        <v>2</v>
      </c>
      <c r="BE29" s="3">
        <v>2</v>
      </c>
      <c r="BF29" s="3">
        <v>2</v>
      </c>
      <c r="BG29" s="3">
        <v>1</v>
      </c>
      <c r="BH29" s="3">
        <v>2</v>
      </c>
      <c r="BI29" s="3">
        <v>3</v>
      </c>
      <c r="BJ29" s="3">
        <v>3</v>
      </c>
      <c r="BK29" s="3">
        <v>3</v>
      </c>
      <c r="BL29" s="3">
        <v>2</v>
      </c>
      <c r="BM29" s="3">
        <v>2</v>
      </c>
      <c r="BN29" s="3">
        <v>2</v>
      </c>
      <c r="BO29" s="3">
        <v>3</v>
      </c>
      <c r="BP29" s="3">
        <v>3</v>
      </c>
      <c r="BQ29" s="3">
        <v>3</v>
      </c>
      <c r="BR29" s="3">
        <v>3</v>
      </c>
      <c r="BS29" s="3">
        <v>4</v>
      </c>
      <c r="BT29" s="3">
        <v>4</v>
      </c>
      <c r="BU29" s="3">
        <v>4</v>
      </c>
      <c r="BV29" s="3">
        <v>4</v>
      </c>
      <c r="BW29" s="3">
        <v>4</v>
      </c>
      <c r="BX29" s="3">
        <v>3</v>
      </c>
      <c r="BY29" s="3">
        <v>3</v>
      </c>
      <c r="BZ29" s="3">
        <v>4</v>
      </c>
      <c r="CA29" s="3">
        <v>4</v>
      </c>
      <c r="CB29" s="3">
        <v>2</v>
      </c>
      <c r="CC29" s="3">
        <v>3</v>
      </c>
      <c r="CD29" s="3">
        <v>3</v>
      </c>
      <c r="CE29" s="3">
        <v>3</v>
      </c>
      <c r="CF29" s="3">
        <v>3</v>
      </c>
      <c r="CG29" s="3">
        <v>1</v>
      </c>
      <c r="CH29" s="3">
        <v>2</v>
      </c>
      <c r="CI29" s="3">
        <v>3</v>
      </c>
      <c r="CJ29" s="3">
        <v>3</v>
      </c>
      <c r="CK29" s="3">
        <v>2</v>
      </c>
      <c r="CL29" s="3">
        <v>3</v>
      </c>
      <c r="CM29" s="3">
        <f t="shared" si="7"/>
        <v>50</v>
      </c>
      <c r="CN29" s="3">
        <f t="shared" si="8"/>
        <v>62.5</v>
      </c>
      <c r="CO29" s="3">
        <f t="shared" si="9"/>
        <v>87.5</v>
      </c>
      <c r="CP29" s="3">
        <f t="shared" si="10"/>
        <v>87.5</v>
      </c>
      <c r="CQ29" s="3">
        <f t="shared" si="11"/>
        <v>83.333333333333329</v>
      </c>
      <c r="CR29" s="3">
        <f t="shared" si="12"/>
        <v>75</v>
      </c>
      <c r="CS29">
        <f t="shared" si="13"/>
        <v>50</v>
      </c>
      <c r="CT29">
        <f t="shared" si="14"/>
        <v>66.666666666666671</v>
      </c>
      <c r="CU29">
        <f t="shared" si="15"/>
        <v>70.3125</v>
      </c>
      <c r="CV29">
        <v>2</v>
      </c>
      <c r="CW29">
        <v>0</v>
      </c>
      <c r="CX29">
        <v>1</v>
      </c>
      <c r="CY29">
        <v>0</v>
      </c>
      <c r="CZ29">
        <v>2</v>
      </c>
      <c r="DA29">
        <v>2</v>
      </c>
      <c r="DB29">
        <v>0</v>
      </c>
      <c r="DC29">
        <v>1</v>
      </c>
      <c r="DD29">
        <v>2</v>
      </c>
      <c r="DE29">
        <v>2</v>
      </c>
      <c r="DF29">
        <v>2</v>
      </c>
      <c r="DG29">
        <v>3</v>
      </c>
      <c r="DH29">
        <v>1</v>
      </c>
      <c r="DI29">
        <v>1</v>
      </c>
      <c r="DJ29">
        <v>0</v>
      </c>
      <c r="DK29">
        <f t="shared" si="2"/>
        <v>19</v>
      </c>
      <c r="DL29">
        <v>1</v>
      </c>
      <c r="DM29">
        <v>2</v>
      </c>
      <c r="DN29">
        <v>0</v>
      </c>
      <c r="DO29">
        <v>0</v>
      </c>
      <c r="DP29">
        <v>2</v>
      </c>
      <c r="DQ29">
        <v>2</v>
      </c>
      <c r="DR29">
        <v>4</v>
      </c>
      <c r="DS29">
        <v>2</v>
      </c>
      <c r="DT29">
        <v>2</v>
      </c>
      <c r="DU29">
        <v>0</v>
      </c>
      <c r="DV29">
        <v>2</v>
      </c>
      <c r="DW29">
        <v>2</v>
      </c>
      <c r="DX29">
        <v>2</v>
      </c>
      <c r="DY29">
        <f t="shared" si="16"/>
        <v>21</v>
      </c>
      <c r="DZ29">
        <v>2</v>
      </c>
      <c r="EA29">
        <v>2</v>
      </c>
      <c r="EB29">
        <v>2</v>
      </c>
      <c r="EC29">
        <v>3</v>
      </c>
      <c r="ED29">
        <v>2</v>
      </c>
      <c r="EE29">
        <v>1</v>
      </c>
      <c r="EF29">
        <v>0</v>
      </c>
      <c r="EG29">
        <v>1</v>
      </c>
      <c r="EH29">
        <v>1</v>
      </c>
      <c r="EI29">
        <v>3</v>
      </c>
      <c r="EJ29">
        <v>2</v>
      </c>
      <c r="EK29">
        <v>3</v>
      </c>
      <c r="EL29">
        <v>3</v>
      </c>
      <c r="EM29">
        <v>2</v>
      </c>
      <c r="EN29">
        <v>2</v>
      </c>
      <c r="EO29">
        <v>2</v>
      </c>
      <c r="EP29">
        <v>2</v>
      </c>
      <c r="EQ29">
        <v>0</v>
      </c>
      <c r="ER29">
        <v>1</v>
      </c>
      <c r="ES29">
        <v>1</v>
      </c>
      <c r="ET29">
        <v>1</v>
      </c>
      <c r="EU29">
        <v>1</v>
      </c>
      <c r="EV29">
        <v>2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f t="shared" si="4"/>
        <v>0</v>
      </c>
      <c r="FO29">
        <f t="shared" si="17"/>
        <v>40</v>
      </c>
      <c r="FP29">
        <v>19</v>
      </c>
      <c r="FQ29">
        <v>5</v>
      </c>
      <c r="FR29">
        <v>3</v>
      </c>
      <c r="FS29">
        <v>6</v>
      </c>
      <c r="FT29">
        <v>2</v>
      </c>
      <c r="FU29">
        <v>2</v>
      </c>
      <c r="FV29">
        <v>5</v>
      </c>
      <c r="FW29">
        <v>6</v>
      </c>
      <c r="FX29">
        <f t="shared" si="18"/>
        <v>29</v>
      </c>
      <c r="FY29">
        <v>0</v>
      </c>
      <c r="FZ29">
        <f t="shared" si="6"/>
        <v>1</v>
      </c>
      <c r="GA29">
        <v>1</v>
      </c>
    </row>
    <row r="30" spans="1:183" x14ac:dyDescent="0.2">
      <c r="A30">
        <v>29</v>
      </c>
      <c r="B30">
        <v>1</v>
      </c>
      <c r="C30">
        <v>1</v>
      </c>
      <c r="D30">
        <v>0</v>
      </c>
      <c r="E30" s="2">
        <v>15824</v>
      </c>
      <c r="F30" s="2">
        <v>44428</v>
      </c>
      <c r="G30" s="3">
        <f t="shared" si="0"/>
        <v>78.25</v>
      </c>
      <c r="H30">
        <v>60</v>
      </c>
      <c r="I30" s="3">
        <f t="shared" si="1"/>
        <v>18.25</v>
      </c>
      <c r="J30">
        <v>0</v>
      </c>
      <c r="K30">
        <v>5</v>
      </c>
      <c r="L30">
        <v>0</v>
      </c>
      <c r="M30" s="5">
        <v>3</v>
      </c>
      <c r="N30" s="5" t="s">
        <v>276</v>
      </c>
      <c r="O30">
        <v>3</v>
      </c>
      <c r="P30">
        <v>4</v>
      </c>
      <c r="Q30">
        <v>2</v>
      </c>
      <c r="R30">
        <v>1</v>
      </c>
      <c r="S30">
        <v>1</v>
      </c>
      <c r="T30">
        <v>1</v>
      </c>
      <c r="U30">
        <v>0</v>
      </c>
      <c r="V30">
        <v>1</v>
      </c>
      <c r="W30">
        <v>1</v>
      </c>
      <c r="X30">
        <v>2</v>
      </c>
      <c r="Y30">
        <v>2</v>
      </c>
      <c r="Z30">
        <v>1</v>
      </c>
      <c r="AA30">
        <v>2</v>
      </c>
      <c r="AB30">
        <v>1</v>
      </c>
      <c r="AC30">
        <v>1</v>
      </c>
      <c r="AD30">
        <v>1</v>
      </c>
      <c r="AE30">
        <v>1</v>
      </c>
      <c r="AF30">
        <v>0</v>
      </c>
      <c r="AG30">
        <v>0</v>
      </c>
      <c r="AH30">
        <v>1</v>
      </c>
      <c r="AI30">
        <f>AJ30*ledd!$B$2+AK30*ledd!$B$3+AL30*ledd!$B$4+AM30*ledd!$B$5+AN30*ledd!$B$6+AO30*ledd!$B$7+AP30*ledd!$B$8+AQ30*ledd!$B$9+AR30*ledd!$B$10+AS30*ledd!$B$11+AT30*ledd!$B$12+AU30*ledd!$B$13+AV30*ledd!$B$14+AW30*ledd!$B$15+AX30*ledd!$B$16</f>
        <v>1600</v>
      </c>
      <c r="AJ30">
        <v>700</v>
      </c>
      <c r="AK30">
        <v>200</v>
      </c>
      <c r="AL30">
        <v>0</v>
      </c>
      <c r="AM30">
        <v>300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600</v>
      </c>
      <c r="AU30">
        <v>0</v>
      </c>
      <c r="AV30">
        <v>0</v>
      </c>
      <c r="AW30">
        <v>0</v>
      </c>
      <c r="AX30">
        <v>0</v>
      </c>
      <c r="AY30">
        <v>4</v>
      </c>
      <c r="AZ30" s="3">
        <v>3</v>
      </c>
      <c r="BA30" s="3">
        <v>3</v>
      </c>
      <c r="BB30" s="3">
        <v>3</v>
      </c>
      <c r="BC30" s="3">
        <v>3</v>
      </c>
      <c r="BD30" s="3">
        <v>2</v>
      </c>
      <c r="BE30" s="3">
        <v>2</v>
      </c>
      <c r="BF30" s="3">
        <v>2</v>
      </c>
      <c r="BG30" s="3">
        <v>3</v>
      </c>
      <c r="BH30" s="3">
        <v>3</v>
      </c>
      <c r="BI30" s="3">
        <v>3</v>
      </c>
      <c r="BJ30" s="3">
        <v>2</v>
      </c>
      <c r="BK30" s="3">
        <v>2</v>
      </c>
      <c r="BL30" s="3">
        <v>3</v>
      </c>
      <c r="BM30" s="3">
        <v>3</v>
      </c>
      <c r="BN30" s="3">
        <v>1</v>
      </c>
      <c r="BO30" s="3">
        <v>3</v>
      </c>
      <c r="BP30" s="3">
        <v>1</v>
      </c>
      <c r="BQ30" s="3">
        <v>1</v>
      </c>
      <c r="BR30" s="3">
        <v>0</v>
      </c>
      <c r="BS30" s="3">
        <v>2</v>
      </c>
      <c r="BT30" s="3">
        <v>0</v>
      </c>
      <c r="BU30" s="3">
        <v>2</v>
      </c>
      <c r="BV30" s="3">
        <v>0</v>
      </c>
      <c r="BW30" s="3">
        <v>0</v>
      </c>
      <c r="BX30" s="3">
        <v>0</v>
      </c>
      <c r="BY30" s="3">
        <v>1</v>
      </c>
      <c r="BZ30" s="3">
        <v>0</v>
      </c>
      <c r="CA30" s="3">
        <v>0</v>
      </c>
      <c r="CB30" s="3">
        <v>0</v>
      </c>
      <c r="CC30" s="3">
        <v>1</v>
      </c>
      <c r="CD30" s="3">
        <v>3</v>
      </c>
      <c r="CE30" s="3">
        <v>1</v>
      </c>
      <c r="CF30" s="3">
        <v>1</v>
      </c>
      <c r="CG30" s="3">
        <v>1</v>
      </c>
      <c r="CH30" s="3">
        <v>0</v>
      </c>
      <c r="CI30" s="3">
        <v>0</v>
      </c>
      <c r="CJ30" s="3">
        <v>2</v>
      </c>
      <c r="CK30" s="3">
        <v>2</v>
      </c>
      <c r="CL30" s="3">
        <v>1</v>
      </c>
      <c r="CM30" s="3">
        <f t="shared" si="7"/>
        <v>67.5</v>
      </c>
      <c r="CN30" s="3">
        <f t="shared" si="8"/>
        <v>58.333333333333336</v>
      </c>
      <c r="CO30" s="3">
        <f t="shared" si="9"/>
        <v>25</v>
      </c>
      <c r="CP30" s="3">
        <f t="shared" si="10"/>
        <v>6.25</v>
      </c>
      <c r="CQ30" s="3">
        <f t="shared" si="11"/>
        <v>0</v>
      </c>
      <c r="CR30" s="3">
        <f t="shared" si="12"/>
        <v>37.5</v>
      </c>
      <c r="CS30">
        <f t="shared" si="13"/>
        <v>8.3333333333333339</v>
      </c>
      <c r="CT30">
        <f t="shared" si="14"/>
        <v>41.666666666666664</v>
      </c>
      <c r="CU30">
        <f t="shared" si="15"/>
        <v>30.572916666666668</v>
      </c>
      <c r="CV30">
        <v>1</v>
      </c>
      <c r="CW30">
        <v>1</v>
      </c>
      <c r="CX30">
        <v>0</v>
      </c>
      <c r="CY30">
        <v>0</v>
      </c>
      <c r="CZ30">
        <v>2</v>
      </c>
      <c r="DA30">
        <v>0</v>
      </c>
      <c r="DB30">
        <v>0</v>
      </c>
      <c r="DC30">
        <v>3</v>
      </c>
      <c r="DD30">
        <v>0</v>
      </c>
      <c r="DE30">
        <v>3</v>
      </c>
      <c r="DF30">
        <v>3</v>
      </c>
      <c r="DG30">
        <v>2</v>
      </c>
      <c r="DH30">
        <v>3</v>
      </c>
      <c r="DI30">
        <v>2</v>
      </c>
      <c r="DJ30">
        <v>0</v>
      </c>
      <c r="DK30">
        <f t="shared" si="2"/>
        <v>20</v>
      </c>
      <c r="DL30">
        <v>1</v>
      </c>
      <c r="DM30">
        <v>2</v>
      </c>
      <c r="DN30">
        <v>1</v>
      </c>
      <c r="DO30">
        <v>0</v>
      </c>
      <c r="DP30">
        <v>1</v>
      </c>
      <c r="DQ30">
        <v>1</v>
      </c>
      <c r="DR30">
        <v>4</v>
      </c>
      <c r="DS30">
        <v>2</v>
      </c>
      <c r="DT30">
        <v>2</v>
      </c>
      <c r="DU30">
        <v>0</v>
      </c>
      <c r="DV30">
        <v>3</v>
      </c>
      <c r="DW30">
        <v>3</v>
      </c>
      <c r="DX30">
        <v>3</v>
      </c>
      <c r="DY30">
        <f t="shared" si="16"/>
        <v>23</v>
      </c>
      <c r="DZ30">
        <v>1</v>
      </c>
      <c r="EA30">
        <v>2</v>
      </c>
      <c r="EB30">
        <v>3</v>
      </c>
      <c r="EC30">
        <v>2</v>
      </c>
      <c r="ED30">
        <v>2</v>
      </c>
      <c r="EE30">
        <v>1</v>
      </c>
      <c r="EF30">
        <v>1</v>
      </c>
      <c r="EG30">
        <v>3</v>
      </c>
      <c r="EH30">
        <v>2</v>
      </c>
      <c r="EI30">
        <v>1</v>
      </c>
      <c r="EJ30">
        <v>1</v>
      </c>
      <c r="EK30">
        <v>3</v>
      </c>
      <c r="EL30">
        <v>2</v>
      </c>
      <c r="EM30">
        <v>1</v>
      </c>
      <c r="EN30">
        <v>1</v>
      </c>
      <c r="EO30">
        <v>1</v>
      </c>
      <c r="EP30">
        <v>1</v>
      </c>
      <c r="EQ30">
        <v>3</v>
      </c>
      <c r="ER30">
        <v>3</v>
      </c>
      <c r="ES30">
        <v>2</v>
      </c>
      <c r="ET30">
        <v>4</v>
      </c>
      <c r="EU30">
        <v>3</v>
      </c>
      <c r="EV30">
        <v>3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f t="shared" si="3"/>
        <v>46</v>
      </c>
      <c r="FH30">
        <v>3</v>
      </c>
      <c r="FI30">
        <v>2</v>
      </c>
      <c r="FJ30">
        <v>2</v>
      </c>
      <c r="FK30">
        <v>2</v>
      </c>
      <c r="FL30">
        <v>1</v>
      </c>
      <c r="FM30">
        <v>0</v>
      </c>
      <c r="FN30">
        <f t="shared" si="4"/>
        <v>10</v>
      </c>
      <c r="FO30">
        <f t="shared" si="17"/>
        <v>99</v>
      </c>
      <c r="FP30">
        <v>8</v>
      </c>
      <c r="FQ30">
        <v>2</v>
      </c>
      <c r="FR30">
        <v>3</v>
      </c>
      <c r="FS30">
        <v>6</v>
      </c>
      <c r="FT30">
        <v>3</v>
      </c>
      <c r="FU30">
        <v>2</v>
      </c>
      <c r="FV30">
        <v>2</v>
      </c>
      <c r="FW30">
        <v>5</v>
      </c>
      <c r="FX30">
        <f t="shared" si="18"/>
        <v>23</v>
      </c>
      <c r="FY30">
        <v>1</v>
      </c>
      <c r="FZ30">
        <f t="shared" si="6"/>
        <v>4</v>
      </c>
      <c r="GA30">
        <v>1</v>
      </c>
    </row>
    <row r="31" spans="1:183" x14ac:dyDescent="0.2">
      <c r="A31">
        <v>30</v>
      </c>
      <c r="B31">
        <v>1</v>
      </c>
      <c r="C31">
        <v>1</v>
      </c>
      <c r="D31">
        <v>1</v>
      </c>
      <c r="E31" s="2">
        <v>21596</v>
      </c>
      <c r="F31" s="2">
        <v>44434</v>
      </c>
      <c r="G31" s="3">
        <f t="shared" si="0"/>
        <v>62.5</v>
      </c>
      <c r="H31">
        <v>45</v>
      </c>
      <c r="I31" s="3">
        <f t="shared" si="1"/>
        <v>17.5</v>
      </c>
      <c r="J31">
        <v>0</v>
      </c>
      <c r="K31">
        <v>1</v>
      </c>
      <c r="L31">
        <v>0</v>
      </c>
      <c r="M31">
        <v>0</v>
      </c>
      <c r="N31">
        <v>2</v>
      </c>
      <c r="O31">
        <v>1</v>
      </c>
      <c r="P31">
        <v>4</v>
      </c>
      <c r="Q31">
        <v>2</v>
      </c>
      <c r="R31">
        <v>1</v>
      </c>
      <c r="S31">
        <v>1</v>
      </c>
      <c r="T31">
        <v>1</v>
      </c>
      <c r="U31">
        <v>0</v>
      </c>
      <c r="V31">
        <v>1</v>
      </c>
      <c r="W31">
        <v>1</v>
      </c>
      <c r="X31">
        <v>3</v>
      </c>
      <c r="Y31">
        <v>3</v>
      </c>
      <c r="Z31">
        <v>0</v>
      </c>
      <c r="AA31">
        <v>2</v>
      </c>
      <c r="AB31">
        <v>0</v>
      </c>
      <c r="AC31">
        <v>6</v>
      </c>
      <c r="AD31">
        <v>6</v>
      </c>
      <c r="AE31">
        <v>1</v>
      </c>
      <c r="AF31">
        <v>0</v>
      </c>
      <c r="AG31">
        <v>0</v>
      </c>
      <c r="AH31">
        <v>1</v>
      </c>
      <c r="AI31">
        <f>AJ31*ledd!$B$2+AK31*ledd!$B$3+AL31*ledd!$B$4+AM31*ledd!$B$5+AN31*ledd!$B$6+AO31*ledd!$B$7+AP31*ledd!$B$8+AQ31*ledd!$B$9+AR31*ledd!$B$10+AS31*ledd!$B$11+AT31*ledd!$B$12+AU31*ledd!$B$13+AV31*ledd!$B$14+AW31*ledd!$B$15+AX31*ledd!$B$16</f>
        <v>2796.5</v>
      </c>
      <c r="AJ31">
        <v>1450</v>
      </c>
      <c r="AK31">
        <v>200</v>
      </c>
      <c r="AL31">
        <v>0</v>
      </c>
      <c r="AM31">
        <v>0</v>
      </c>
      <c r="AN31">
        <v>0</v>
      </c>
      <c r="AO31">
        <v>24</v>
      </c>
      <c r="AP31">
        <v>0</v>
      </c>
      <c r="AQ31">
        <v>0</v>
      </c>
      <c r="AR31">
        <v>0</v>
      </c>
      <c r="AS31">
        <v>0</v>
      </c>
      <c r="AT31">
        <v>600</v>
      </c>
      <c r="AU31">
        <v>0</v>
      </c>
      <c r="AV31">
        <v>0</v>
      </c>
      <c r="AW31">
        <v>100</v>
      </c>
      <c r="AX31">
        <v>50</v>
      </c>
      <c r="AY31">
        <v>4</v>
      </c>
      <c r="AZ31" s="3">
        <v>3</v>
      </c>
      <c r="BA31" s="3">
        <v>2</v>
      </c>
      <c r="BB31" s="3">
        <v>3</v>
      </c>
      <c r="BC31" s="3">
        <v>3</v>
      </c>
      <c r="BD31" s="3">
        <v>2</v>
      </c>
      <c r="BE31" s="3">
        <v>2</v>
      </c>
      <c r="BF31" s="3">
        <v>2</v>
      </c>
      <c r="BG31" s="3">
        <v>3</v>
      </c>
      <c r="BH31" s="3">
        <v>2</v>
      </c>
      <c r="BI31" s="3">
        <v>3</v>
      </c>
      <c r="BJ31" s="3">
        <v>1</v>
      </c>
      <c r="BK31" s="3">
        <v>1</v>
      </c>
      <c r="BL31" s="3">
        <v>1</v>
      </c>
      <c r="BM31" s="3">
        <v>3</v>
      </c>
      <c r="BN31" s="3">
        <v>1</v>
      </c>
      <c r="BO31" s="3">
        <v>0</v>
      </c>
      <c r="BP31" s="3">
        <v>2</v>
      </c>
      <c r="BQ31" s="3">
        <v>1</v>
      </c>
      <c r="BR31" s="3">
        <v>2</v>
      </c>
      <c r="BS31" s="3">
        <v>2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>
        <v>1</v>
      </c>
      <c r="BZ31" s="3">
        <v>1</v>
      </c>
      <c r="CA31" s="3">
        <v>1</v>
      </c>
      <c r="CB31" s="3">
        <v>1</v>
      </c>
      <c r="CC31" s="3">
        <v>0</v>
      </c>
      <c r="CD31" s="3">
        <v>1</v>
      </c>
      <c r="CE31" s="3">
        <v>1</v>
      </c>
      <c r="CF31" s="3">
        <v>1</v>
      </c>
      <c r="CG31" s="3">
        <v>2</v>
      </c>
      <c r="CH31" s="3">
        <v>2</v>
      </c>
      <c r="CI31" s="3">
        <v>1</v>
      </c>
      <c r="CJ31" s="3">
        <v>0</v>
      </c>
      <c r="CK31" s="3">
        <v>2</v>
      </c>
      <c r="CL31" s="3">
        <v>0</v>
      </c>
      <c r="CM31" s="3">
        <f t="shared" si="7"/>
        <v>62.5</v>
      </c>
      <c r="CN31" s="3">
        <f t="shared" si="8"/>
        <v>29.166666666666668</v>
      </c>
      <c r="CO31" s="3">
        <f t="shared" si="9"/>
        <v>37.5</v>
      </c>
      <c r="CP31" s="3">
        <f t="shared" si="10"/>
        <v>25</v>
      </c>
      <c r="CQ31" s="3">
        <f t="shared" si="11"/>
        <v>25</v>
      </c>
      <c r="CR31" s="3">
        <f t="shared" si="12"/>
        <v>18.75</v>
      </c>
      <c r="CS31">
        <f t="shared" si="13"/>
        <v>41.666666666666664</v>
      </c>
      <c r="CT31">
        <f t="shared" si="14"/>
        <v>16.666666666666668</v>
      </c>
      <c r="CU31">
        <f t="shared" si="15"/>
        <v>32.03125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1</v>
      </c>
      <c r="DD31">
        <v>0</v>
      </c>
      <c r="DE31">
        <v>0</v>
      </c>
      <c r="DF31">
        <v>2</v>
      </c>
      <c r="DG31">
        <v>0</v>
      </c>
      <c r="DH31">
        <v>0</v>
      </c>
      <c r="DI31">
        <v>0</v>
      </c>
      <c r="DJ31">
        <v>0</v>
      </c>
      <c r="DK31">
        <f t="shared" si="2"/>
        <v>3</v>
      </c>
      <c r="DL31">
        <v>4</v>
      </c>
      <c r="DM31">
        <v>0</v>
      </c>
      <c r="DN31">
        <v>0</v>
      </c>
      <c r="DO31">
        <v>0</v>
      </c>
      <c r="DP31">
        <v>2</v>
      </c>
      <c r="DQ31">
        <v>2</v>
      </c>
      <c r="DR31">
        <v>3</v>
      </c>
      <c r="DS31">
        <v>4</v>
      </c>
      <c r="DT31">
        <v>2</v>
      </c>
      <c r="DU31">
        <v>1</v>
      </c>
      <c r="DV31">
        <v>2</v>
      </c>
      <c r="DW31">
        <v>2</v>
      </c>
      <c r="DX31">
        <v>4</v>
      </c>
      <c r="DY31">
        <f t="shared" si="16"/>
        <v>26</v>
      </c>
      <c r="DZ31">
        <v>4</v>
      </c>
      <c r="EA31">
        <v>3</v>
      </c>
      <c r="EB31">
        <v>0</v>
      </c>
      <c r="EC31">
        <v>0</v>
      </c>
      <c r="ED31">
        <v>1</v>
      </c>
      <c r="EE31">
        <v>0</v>
      </c>
      <c r="EF31">
        <v>0</v>
      </c>
      <c r="EG31">
        <v>1</v>
      </c>
      <c r="EH31">
        <v>1</v>
      </c>
      <c r="EI31">
        <v>2</v>
      </c>
      <c r="EJ31">
        <v>1</v>
      </c>
      <c r="EK31">
        <v>2</v>
      </c>
      <c r="EL31">
        <v>2</v>
      </c>
      <c r="EM31">
        <v>1</v>
      </c>
      <c r="EN31">
        <v>1</v>
      </c>
      <c r="EO31">
        <v>0</v>
      </c>
      <c r="EP31">
        <v>0</v>
      </c>
      <c r="EQ31">
        <v>2</v>
      </c>
      <c r="ER31">
        <v>3</v>
      </c>
      <c r="ES31">
        <v>3</v>
      </c>
      <c r="ET31">
        <v>4</v>
      </c>
      <c r="EU31">
        <v>2</v>
      </c>
      <c r="EV31">
        <v>2</v>
      </c>
      <c r="EW31">
        <v>2</v>
      </c>
      <c r="EX31">
        <v>0</v>
      </c>
      <c r="EY31">
        <v>2</v>
      </c>
      <c r="EZ31">
        <v>0</v>
      </c>
      <c r="FA31">
        <v>1</v>
      </c>
      <c r="FB31">
        <v>0</v>
      </c>
      <c r="FC31">
        <v>0</v>
      </c>
      <c r="FD31">
        <v>0</v>
      </c>
      <c r="FE31">
        <v>0</v>
      </c>
      <c r="FF31">
        <v>1</v>
      </c>
      <c r="FG31">
        <f t="shared" si="3"/>
        <v>41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f t="shared" si="4"/>
        <v>0</v>
      </c>
      <c r="FO31">
        <f t="shared" si="17"/>
        <v>70</v>
      </c>
      <c r="FP31">
        <v>5</v>
      </c>
      <c r="FQ31">
        <v>2</v>
      </c>
      <c r="FR31">
        <v>3</v>
      </c>
      <c r="FS31">
        <v>6</v>
      </c>
      <c r="FT31">
        <v>3</v>
      </c>
      <c r="FU31">
        <v>2</v>
      </c>
      <c r="FV31">
        <v>3</v>
      </c>
      <c r="FW31">
        <v>6</v>
      </c>
      <c r="FX31">
        <f t="shared" si="18"/>
        <v>25</v>
      </c>
      <c r="FY31">
        <v>1</v>
      </c>
      <c r="FZ31">
        <f t="shared" si="6"/>
        <v>3</v>
      </c>
      <c r="GA31">
        <v>1</v>
      </c>
    </row>
    <row r="32" spans="1:183" x14ac:dyDescent="0.2">
      <c r="A32">
        <v>31</v>
      </c>
      <c r="B32">
        <v>1</v>
      </c>
      <c r="C32">
        <v>1</v>
      </c>
      <c r="D32">
        <v>1</v>
      </c>
      <c r="E32" s="2">
        <v>19648</v>
      </c>
      <c r="F32" s="2">
        <v>44439</v>
      </c>
      <c r="G32" s="3">
        <f t="shared" si="0"/>
        <v>67.833333333333329</v>
      </c>
      <c r="H32">
        <v>61</v>
      </c>
      <c r="I32" s="3">
        <f t="shared" si="1"/>
        <v>6.8333333333333286</v>
      </c>
      <c r="J32">
        <v>0</v>
      </c>
      <c r="K32">
        <v>0</v>
      </c>
      <c r="L32">
        <v>1</v>
      </c>
      <c r="M32">
        <v>0</v>
      </c>
      <c r="N32">
        <v>1</v>
      </c>
      <c r="O32">
        <v>1</v>
      </c>
      <c r="P32">
        <v>0</v>
      </c>
      <c r="Q32">
        <v>1</v>
      </c>
      <c r="R32">
        <v>1</v>
      </c>
      <c r="S32">
        <v>1</v>
      </c>
      <c r="T32">
        <v>1</v>
      </c>
      <c r="U32">
        <v>0</v>
      </c>
      <c r="V32">
        <v>1</v>
      </c>
      <c r="W32">
        <v>1</v>
      </c>
      <c r="X32">
        <v>2</v>
      </c>
      <c r="Y32">
        <v>2</v>
      </c>
      <c r="Z32">
        <v>0</v>
      </c>
      <c r="AA32">
        <v>2</v>
      </c>
      <c r="AB32">
        <v>0</v>
      </c>
      <c r="AC32">
        <v>1</v>
      </c>
      <c r="AD32">
        <v>6</v>
      </c>
      <c r="AE32">
        <v>0</v>
      </c>
      <c r="AF32">
        <v>0</v>
      </c>
      <c r="AG32">
        <v>0</v>
      </c>
      <c r="AH32">
        <v>0</v>
      </c>
      <c r="AI32">
        <f>AJ32*ledd!$B$2+AK32*ledd!$B$3+AL32*ledd!$B$4+AM32*ledd!$B$5+AN32*ledd!$B$6+AO32*ledd!$B$7+AP32*ledd!$B$8+AQ32*ledd!$B$9+AR32*ledd!$B$10+AS32*ledd!$B$11+AT32*ledd!$B$12+AU32*ledd!$B$13+AV32*ledd!$B$14+AW32*ledd!$B$15+AX32*ledd!$B$16</f>
        <v>776.5</v>
      </c>
      <c r="AJ32">
        <v>375</v>
      </c>
      <c r="AK32">
        <v>300</v>
      </c>
      <c r="AL32">
        <v>0</v>
      </c>
      <c r="AM32">
        <v>0</v>
      </c>
      <c r="AN32">
        <v>0</v>
      </c>
      <c r="AO32">
        <v>8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50</v>
      </c>
      <c r="AY32">
        <v>2</v>
      </c>
      <c r="AZ32" s="3">
        <v>2</v>
      </c>
      <c r="BA32" s="3">
        <v>2</v>
      </c>
      <c r="BB32" s="3">
        <v>1</v>
      </c>
      <c r="BC32" s="3">
        <v>3</v>
      </c>
      <c r="BD32" s="3">
        <v>1</v>
      </c>
      <c r="BE32" s="3">
        <v>1</v>
      </c>
      <c r="BF32" s="3">
        <v>1</v>
      </c>
      <c r="BG32" s="3">
        <v>0</v>
      </c>
      <c r="BH32" s="3">
        <v>0</v>
      </c>
      <c r="BI32" s="3">
        <v>2</v>
      </c>
      <c r="BJ32" s="3">
        <v>1</v>
      </c>
      <c r="BK32" s="3">
        <v>1</v>
      </c>
      <c r="BL32" s="3">
        <v>2</v>
      </c>
      <c r="BM32" s="3">
        <v>2</v>
      </c>
      <c r="BN32" s="3">
        <v>2</v>
      </c>
      <c r="BO32" s="3">
        <v>1</v>
      </c>
      <c r="BP32" s="3">
        <v>1</v>
      </c>
      <c r="BQ32" s="3">
        <v>1</v>
      </c>
      <c r="BR32" s="3">
        <v>0</v>
      </c>
      <c r="BS32" s="3">
        <v>1</v>
      </c>
      <c r="BT32" s="3">
        <v>0</v>
      </c>
      <c r="BU32" s="3">
        <v>1</v>
      </c>
      <c r="BV32" s="3">
        <v>0</v>
      </c>
      <c r="BW32" s="3">
        <v>1</v>
      </c>
      <c r="BX32" s="3">
        <v>0</v>
      </c>
      <c r="BY32" s="3">
        <v>0</v>
      </c>
      <c r="BZ32" s="3">
        <v>0</v>
      </c>
      <c r="CA32" s="3">
        <v>2</v>
      </c>
      <c r="CB32" s="3">
        <v>1</v>
      </c>
      <c r="CC32" s="3">
        <v>0</v>
      </c>
      <c r="CD32" s="3">
        <v>1</v>
      </c>
      <c r="CE32" s="3">
        <v>1</v>
      </c>
      <c r="CF32" s="3">
        <v>1</v>
      </c>
      <c r="CG32" s="3">
        <v>1</v>
      </c>
      <c r="CH32" s="3">
        <v>1</v>
      </c>
      <c r="CI32" s="3">
        <v>0</v>
      </c>
      <c r="CJ32" s="3">
        <v>2</v>
      </c>
      <c r="CK32" s="3">
        <v>2</v>
      </c>
      <c r="CL32" s="3">
        <v>0</v>
      </c>
      <c r="CM32" s="3">
        <f t="shared" si="7"/>
        <v>32.5</v>
      </c>
      <c r="CN32" s="3">
        <f t="shared" si="8"/>
        <v>37.5</v>
      </c>
      <c r="CO32" s="3">
        <f t="shared" si="9"/>
        <v>16.666666666666668</v>
      </c>
      <c r="CP32" s="3">
        <f t="shared" si="10"/>
        <v>6.25</v>
      </c>
      <c r="CQ32" s="3">
        <f t="shared" si="11"/>
        <v>25</v>
      </c>
      <c r="CR32" s="3">
        <f t="shared" si="12"/>
        <v>18.75</v>
      </c>
      <c r="CS32">
        <f t="shared" si="13"/>
        <v>16.666666666666668</v>
      </c>
      <c r="CT32">
        <f t="shared" si="14"/>
        <v>33.333333333333336</v>
      </c>
      <c r="CU32">
        <f t="shared" si="15"/>
        <v>23.333333333333336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</v>
      </c>
      <c r="DD32">
        <v>0</v>
      </c>
      <c r="DE32">
        <v>1</v>
      </c>
      <c r="DF32">
        <v>0</v>
      </c>
      <c r="DG32">
        <v>0</v>
      </c>
      <c r="DH32">
        <v>0</v>
      </c>
      <c r="DI32">
        <v>2</v>
      </c>
      <c r="DJ32">
        <v>0</v>
      </c>
      <c r="DK32">
        <f t="shared" si="2"/>
        <v>4</v>
      </c>
      <c r="DL32">
        <v>0</v>
      </c>
      <c r="DM32">
        <v>2</v>
      </c>
      <c r="DN32">
        <v>0</v>
      </c>
      <c r="DO32">
        <v>1</v>
      </c>
      <c r="DP32">
        <v>2</v>
      </c>
      <c r="DQ32">
        <v>0</v>
      </c>
      <c r="DR32">
        <v>2</v>
      </c>
      <c r="DS32">
        <v>2</v>
      </c>
      <c r="DT32">
        <v>0</v>
      </c>
      <c r="DU32">
        <v>2</v>
      </c>
      <c r="DV32">
        <v>0</v>
      </c>
      <c r="DW32">
        <v>0</v>
      </c>
      <c r="DX32">
        <v>1</v>
      </c>
      <c r="DY32">
        <f t="shared" si="16"/>
        <v>12</v>
      </c>
      <c r="DZ32">
        <v>0</v>
      </c>
      <c r="EA32">
        <v>2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1</v>
      </c>
      <c r="EH32">
        <v>1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2</v>
      </c>
      <c r="ES32">
        <v>0</v>
      </c>
      <c r="ET32">
        <v>1</v>
      </c>
      <c r="EU32">
        <v>2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0</v>
      </c>
      <c r="FD32">
        <v>0</v>
      </c>
      <c r="FE32">
        <v>0</v>
      </c>
      <c r="FF32">
        <v>1</v>
      </c>
      <c r="FG32">
        <f t="shared" si="3"/>
        <v>17</v>
      </c>
      <c r="FH32">
        <v>2</v>
      </c>
      <c r="FI32">
        <v>2</v>
      </c>
      <c r="FJ32">
        <v>2</v>
      </c>
      <c r="FK32">
        <v>2</v>
      </c>
      <c r="FL32">
        <v>1</v>
      </c>
      <c r="FM32">
        <v>0</v>
      </c>
      <c r="FN32">
        <f t="shared" si="4"/>
        <v>9</v>
      </c>
      <c r="FO32">
        <f t="shared" si="17"/>
        <v>42</v>
      </c>
      <c r="FP32">
        <v>6</v>
      </c>
      <c r="FQ32">
        <v>5</v>
      </c>
      <c r="FR32">
        <v>3</v>
      </c>
      <c r="FS32">
        <v>6</v>
      </c>
      <c r="FT32">
        <v>3</v>
      </c>
      <c r="FU32">
        <v>2</v>
      </c>
      <c r="FV32">
        <v>3</v>
      </c>
      <c r="FW32">
        <v>6</v>
      </c>
      <c r="FX32">
        <f t="shared" si="18"/>
        <v>28</v>
      </c>
      <c r="FY32">
        <v>0</v>
      </c>
      <c r="FZ32">
        <f t="shared" si="6"/>
        <v>2</v>
      </c>
      <c r="GA32">
        <v>0</v>
      </c>
    </row>
    <row r="33" spans="1:183" x14ac:dyDescent="0.2">
      <c r="A33">
        <v>32</v>
      </c>
      <c r="B33">
        <v>1</v>
      </c>
      <c r="C33">
        <v>1</v>
      </c>
      <c r="D33">
        <v>1</v>
      </c>
      <c r="E33" s="2">
        <v>16312</v>
      </c>
      <c r="F33" s="2">
        <v>44452</v>
      </c>
      <c r="G33" s="3">
        <f t="shared" si="0"/>
        <v>77</v>
      </c>
      <c r="H33">
        <v>76</v>
      </c>
      <c r="I33" s="3">
        <f t="shared" si="1"/>
        <v>1</v>
      </c>
      <c r="J33">
        <v>0</v>
      </c>
      <c r="K33">
        <v>5</v>
      </c>
      <c r="L33">
        <v>1</v>
      </c>
      <c r="M33">
        <v>0</v>
      </c>
      <c r="N33">
        <v>1</v>
      </c>
      <c r="O33">
        <v>0</v>
      </c>
      <c r="P33">
        <v>4</v>
      </c>
      <c r="Q33">
        <v>3</v>
      </c>
      <c r="R33">
        <v>2</v>
      </c>
      <c r="S33">
        <v>0</v>
      </c>
      <c r="T33">
        <v>0</v>
      </c>
      <c r="U33">
        <v>0</v>
      </c>
      <c r="V33">
        <v>1</v>
      </c>
      <c r="W33">
        <v>1</v>
      </c>
      <c r="X33">
        <v>0</v>
      </c>
      <c r="Y33">
        <v>1</v>
      </c>
      <c r="Z33">
        <v>4</v>
      </c>
      <c r="AA33">
        <v>0</v>
      </c>
      <c r="AC33">
        <v>0</v>
      </c>
      <c r="AD33" s="5">
        <v>0</v>
      </c>
      <c r="AE33">
        <v>0</v>
      </c>
      <c r="AF33">
        <v>0</v>
      </c>
      <c r="AG33">
        <v>0</v>
      </c>
      <c r="AH33">
        <v>0</v>
      </c>
      <c r="AI33">
        <f>AJ33*ledd!$B$2+AK33*ledd!$B$3+AL33*ledd!$B$4+AM33*ledd!$B$5+AN33*ledd!$B$6+AO33*ledd!$B$7+AP33*ledd!$B$8+AQ33*ledd!$B$9+AR33*ledd!$B$10+AS33*ledd!$B$11+AT33*ledd!$B$12+AU33*ledd!$B$13+AV33*ledd!$B$14+AW33*ledd!$B$15+AX33*ledd!$B$16</f>
        <v>175</v>
      </c>
      <c r="AJ33">
        <v>100</v>
      </c>
      <c r="AK33">
        <v>100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2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3</v>
      </c>
      <c r="BN33" s="3">
        <v>0</v>
      </c>
      <c r="BO33" s="3">
        <v>1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1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f t="shared" si="7"/>
        <v>0</v>
      </c>
      <c r="CN33" s="3">
        <f t="shared" si="8"/>
        <v>16.666666666666668</v>
      </c>
      <c r="CO33" s="3">
        <f t="shared" si="9"/>
        <v>0</v>
      </c>
      <c r="CP33" s="3">
        <f t="shared" si="10"/>
        <v>0</v>
      </c>
      <c r="CQ33" s="3">
        <f t="shared" si="11"/>
        <v>0</v>
      </c>
      <c r="CR33" s="3">
        <f t="shared" si="12"/>
        <v>6.25</v>
      </c>
      <c r="CS33">
        <f t="shared" si="13"/>
        <v>0</v>
      </c>
      <c r="CT33">
        <f t="shared" si="14"/>
        <v>0</v>
      </c>
      <c r="CU33">
        <f t="shared" si="15"/>
        <v>2.8645833333333335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2</v>
      </c>
      <c r="DI33">
        <v>0</v>
      </c>
      <c r="DJ33">
        <v>0</v>
      </c>
      <c r="DK33">
        <f t="shared" si="2"/>
        <v>2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2</v>
      </c>
      <c r="DS33">
        <v>0</v>
      </c>
      <c r="DT33">
        <v>0</v>
      </c>
      <c r="DU33">
        <v>0</v>
      </c>
      <c r="DV33">
        <v>0</v>
      </c>
      <c r="DW33">
        <v>1</v>
      </c>
      <c r="DX33">
        <v>0</v>
      </c>
      <c r="DY33">
        <f t="shared" si="16"/>
        <v>3</v>
      </c>
      <c r="DZ33">
        <v>1</v>
      </c>
      <c r="EA33">
        <v>2</v>
      </c>
      <c r="EB33">
        <v>2</v>
      </c>
      <c r="EC33">
        <v>2</v>
      </c>
      <c r="ED33">
        <v>1</v>
      </c>
      <c r="EE33">
        <v>2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2</v>
      </c>
      <c r="EL33">
        <v>2</v>
      </c>
      <c r="EM33">
        <v>2</v>
      </c>
      <c r="EN33">
        <v>2</v>
      </c>
      <c r="EO33">
        <v>1</v>
      </c>
      <c r="EP33">
        <v>2</v>
      </c>
      <c r="EQ33">
        <v>4</v>
      </c>
      <c r="ER33">
        <v>4</v>
      </c>
      <c r="ES33">
        <v>4</v>
      </c>
      <c r="ET33">
        <v>4</v>
      </c>
      <c r="EU33">
        <v>2</v>
      </c>
      <c r="EV33">
        <v>3</v>
      </c>
      <c r="EW33">
        <v>0</v>
      </c>
      <c r="EX33">
        <v>0</v>
      </c>
      <c r="EY33">
        <v>1</v>
      </c>
      <c r="EZ33">
        <v>1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f t="shared" si="3"/>
        <v>49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f t="shared" si="4"/>
        <v>0</v>
      </c>
      <c r="FO33">
        <f t="shared" si="17"/>
        <v>54</v>
      </c>
      <c r="FP33">
        <v>4</v>
      </c>
      <c r="FQ33">
        <v>1</v>
      </c>
      <c r="FR33">
        <v>3</v>
      </c>
      <c r="FS33">
        <v>4</v>
      </c>
      <c r="FT33">
        <v>2</v>
      </c>
      <c r="FU33">
        <v>2</v>
      </c>
      <c r="FV33">
        <v>3</v>
      </c>
      <c r="FW33">
        <v>6</v>
      </c>
      <c r="FX33">
        <f t="shared" si="18"/>
        <v>21</v>
      </c>
      <c r="FY33">
        <v>0</v>
      </c>
      <c r="FZ33">
        <f t="shared" si="6"/>
        <v>3</v>
      </c>
      <c r="GA33">
        <v>0</v>
      </c>
    </row>
    <row r="34" spans="1:183" x14ac:dyDescent="0.2">
      <c r="A34">
        <v>33</v>
      </c>
      <c r="B34">
        <v>1</v>
      </c>
      <c r="C34">
        <v>1</v>
      </c>
      <c r="D34">
        <v>0</v>
      </c>
      <c r="E34" s="2">
        <v>21739</v>
      </c>
      <c r="F34" s="2">
        <v>44453</v>
      </c>
      <c r="G34" s="3">
        <f t="shared" si="0"/>
        <v>62.166666666666664</v>
      </c>
      <c r="H34">
        <v>48</v>
      </c>
      <c r="I34" s="3">
        <f t="shared" si="1"/>
        <v>14.166666666666664</v>
      </c>
      <c r="J34">
        <v>0</v>
      </c>
      <c r="K34">
        <v>1</v>
      </c>
      <c r="L34">
        <v>1</v>
      </c>
      <c r="M34">
        <v>0</v>
      </c>
      <c r="N34">
        <v>2</v>
      </c>
      <c r="O34">
        <v>0</v>
      </c>
      <c r="P34">
        <v>4</v>
      </c>
      <c r="Q34">
        <v>2</v>
      </c>
      <c r="R34">
        <v>1</v>
      </c>
      <c r="S34">
        <v>1</v>
      </c>
      <c r="T34">
        <v>1</v>
      </c>
      <c r="U34">
        <v>0</v>
      </c>
      <c r="V34">
        <v>1</v>
      </c>
      <c r="W34">
        <v>1</v>
      </c>
      <c r="X34">
        <v>1</v>
      </c>
      <c r="Y34">
        <v>1</v>
      </c>
      <c r="Z34">
        <v>1</v>
      </c>
      <c r="AA34">
        <v>4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f>AJ34*ledd!$B$2+AK34*ledd!$B$3+AL34*ledd!$B$4+AM34*ledd!$B$5+AN34*ledd!$B$6+AO34*ledd!$B$7+AP34*ledd!$B$8+AQ34*ledd!$B$9+AR34*ledd!$B$10+AS34*ledd!$B$11+AT34*ledd!$B$12+AU34*ledd!$B$13+AV34*ledd!$B$14+AW34*ledd!$B$15+AX34*ledd!$B$16</f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2</v>
      </c>
      <c r="AZ34" s="3">
        <v>1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3</v>
      </c>
      <c r="BI34" s="3">
        <v>0</v>
      </c>
      <c r="BJ34" s="3">
        <v>0</v>
      </c>
      <c r="BK34" s="3">
        <v>0</v>
      </c>
      <c r="BL34" s="3">
        <v>0</v>
      </c>
      <c r="BM34" s="3">
        <v>1</v>
      </c>
      <c r="BN34" s="3">
        <v>0</v>
      </c>
      <c r="BO34" s="3">
        <v>0</v>
      </c>
      <c r="BP34" s="3">
        <v>0</v>
      </c>
      <c r="BQ34" s="3">
        <v>0</v>
      </c>
      <c r="BR34" s="3">
        <v>1</v>
      </c>
      <c r="BS34" s="3">
        <v>0</v>
      </c>
      <c r="BT34" s="3">
        <v>2</v>
      </c>
      <c r="BU34" s="3">
        <v>1</v>
      </c>
      <c r="BV34" s="3">
        <v>0</v>
      </c>
      <c r="BW34" s="3">
        <v>0</v>
      </c>
      <c r="BX34" s="3">
        <v>3</v>
      </c>
      <c r="BY34" s="3">
        <v>3</v>
      </c>
      <c r="BZ34" s="3">
        <v>0</v>
      </c>
      <c r="CA34" s="3">
        <v>0</v>
      </c>
      <c r="CB34" s="3">
        <v>0</v>
      </c>
      <c r="CC34" s="3">
        <v>0</v>
      </c>
      <c r="CD34" s="3">
        <v>2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2</v>
      </c>
      <c r="CK34" s="3">
        <v>2</v>
      </c>
      <c r="CL34" s="3">
        <v>0</v>
      </c>
      <c r="CM34" s="3">
        <f t="shared" si="7"/>
        <v>10</v>
      </c>
      <c r="CN34" s="3">
        <f t="shared" si="8"/>
        <v>4.166666666666667</v>
      </c>
      <c r="CO34" s="3">
        <f t="shared" si="9"/>
        <v>16.666666666666668</v>
      </c>
      <c r="CP34" s="3">
        <f t="shared" si="10"/>
        <v>37.5</v>
      </c>
      <c r="CQ34" s="3">
        <f t="shared" si="11"/>
        <v>0</v>
      </c>
      <c r="CR34" s="3">
        <f t="shared" si="12"/>
        <v>12.5</v>
      </c>
      <c r="CS34">
        <f t="shared" si="13"/>
        <v>0</v>
      </c>
      <c r="CT34">
        <f t="shared" si="14"/>
        <v>33.333333333333336</v>
      </c>
      <c r="CU34">
        <f t="shared" si="15"/>
        <v>14.270833333333336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2</v>
      </c>
      <c r="DD34">
        <v>0</v>
      </c>
      <c r="DE34">
        <v>3</v>
      </c>
      <c r="DF34">
        <v>0</v>
      </c>
      <c r="DG34">
        <v>0</v>
      </c>
      <c r="DH34">
        <v>0</v>
      </c>
      <c r="DI34">
        <v>2</v>
      </c>
      <c r="DJ34">
        <v>0</v>
      </c>
      <c r="DK34">
        <f t="shared" si="2"/>
        <v>7</v>
      </c>
      <c r="DL34">
        <v>0</v>
      </c>
      <c r="DM34">
        <v>2</v>
      </c>
      <c r="DN34">
        <v>0</v>
      </c>
      <c r="DO34">
        <v>0</v>
      </c>
      <c r="DP34">
        <v>0</v>
      </c>
      <c r="DQ34">
        <v>0</v>
      </c>
      <c r="DR34">
        <v>1</v>
      </c>
      <c r="DS34">
        <v>0</v>
      </c>
      <c r="DT34">
        <v>0</v>
      </c>
      <c r="DU34">
        <v>0</v>
      </c>
      <c r="DV34">
        <v>0</v>
      </c>
      <c r="DW34">
        <v>1</v>
      </c>
      <c r="DX34">
        <v>0</v>
      </c>
      <c r="DY34">
        <f t="shared" si="16"/>
        <v>4</v>
      </c>
      <c r="DZ34">
        <v>0</v>
      </c>
      <c r="EA34">
        <v>2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1</v>
      </c>
      <c r="ES34">
        <v>0</v>
      </c>
      <c r="ET34">
        <v>1</v>
      </c>
      <c r="EU34">
        <v>1</v>
      </c>
      <c r="EV34">
        <v>0</v>
      </c>
      <c r="EW34">
        <v>1</v>
      </c>
      <c r="EX34">
        <v>0</v>
      </c>
      <c r="EY34">
        <v>1</v>
      </c>
      <c r="EZ34">
        <v>0</v>
      </c>
      <c r="FA34">
        <v>1</v>
      </c>
      <c r="FB34">
        <v>0</v>
      </c>
      <c r="FC34">
        <v>0</v>
      </c>
      <c r="FD34">
        <v>0</v>
      </c>
      <c r="FE34">
        <v>0</v>
      </c>
      <c r="FF34">
        <v>1</v>
      </c>
      <c r="FG34">
        <f t="shared" si="3"/>
        <v>9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f t="shared" si="4"/>
        <v>0</v>
      </c>
      <c r="FO34">
        <f t="shared" si="17"/>
        <v>20</v>
      </c>
      <c r="FP34">
        <v>8</v>
      </c>
      <c r="FQ34">
        <v>4</v>
      </c>
      <c r="FR34">
        <v>3</v>
      </c>
      <c r="FS34">
        <v>6</v>
      </c>
      <c r="FT34">
        <v>3</v>
      </c>
      <c r="FU34">
        <v>2</v>
      </c>
      <c r="FV34">
        <v>5</v>
      </c>
      <c r="FW34">
        <v>6</v>
      </c>
      <c r="FX34">
        <f t="shared" si="18"/>
        <v>29</v>
      </c>
      <c r="FY34">
        <v>0</v>
      </c>
      <c r="FZ34">
        <f t="shared" si="6"/>
        <v>2</v>
      </c>
      <c r="GA34">
        <v>1</v>
      </c>
    </row>
    <row r="35" spans="1:183" x14ac:dyDescent="0.2">
      <c r="A35">
        <v>34</v>
      </c>
      <c r="B35">
        <v>1</v>
      </c>
      <c r="C35">
        <v>1</v>
      </c>
      <c r="D35">
        <v>1</v>
      </c>
      <c r="E35" s="2">
        <v>20199</v>
      </c>
      <c r="F35" s="2">
        <v>44459</v>
      </c>
      <c r="G35" s="3">
        <f t="shared" si="0"/>
        <v>66.416666666666671</v>
      </c>
      <c r="H35">
        <v>51</v>
      </c>
      <c r="I35" s="3">
        <f t="shared" si="1"/>
        <v>15.416666666666671</v>
      </c>
      <c r="J35">
        <v>0</v>
      </c>
      <c r="K35">
        <v>0</v>
      </c>
      <c r="L35">
        <v>0</v>
      </c>
      <c r="M35">
        <v>0</v>
      </c>
      <c r="N35">
        <v>1</v>
      </c>
      <c r="O35">
        <v>2</v>
      </c>
      <c r="P35">
        <v>2</v>
      </c>
      <c r="Q35">
        <v>2</v>
      </c>
      <c r="R35">
        <v>1</v>
      </c>
      <c r="S35">
        <v>1</v>
      </c>
      <c r="T35">
        <v>0</v>
      </c>
      <c r="U35">
        <v>0</v>
      </c>
      <c r="V35">
        <v>1</v>
      </c>
      <c r="W35">
        <v>1</v>
      </c>
      <c r="X35">
        <v>3</v>
      </c>
      <c r="Y35">
        <v>1</v>
      </c>
      <c r="Z35">
        <v>6</v>
      </c>
      <c r="AA35">
        <v>3</v>
      </c>
      <c r="AB35">
        <v>6</v>
      </c>
      <c r="AC35">
        <v>0</v>
      </c>
      <c r="AD35">
        <v>3</v>
      </c>
      <c r="AE35">
        <v>1</v>
      </c>
      <c r="AF35">
        <v>1</v>
      </c>
      <c r="AG35">
        <v>1</v>
      </c>
      <c r="AH35">
        <v>0</v>
      </c>
      <c r="AI35">
        <f>AJ35*ledd!$B$2+AK35*ledd!$B$3+AL35*ledd!$B$4+AM35*ledd!$B$5+AN35*ledd!$B$6+AO35*ledd!$B$7+AP35*ledd!$B$8+AQ35*ledd!$B$9+AR35*ledd!$B$10+AS35*ledd!$B$11+AT35*ledd!$B$12+AU35*ledd!$B$13+AV35*ledd!$B$14+AW35*ledd!$B$15+AX35*ledd!$B$16</f>
        <v>1130</v>
      </c>
      <c r="AJ35">
        <v>725</v>
      </c>
      <c r="AK35">
        <v>100</v>
      </c>
      <c r="AL35">
        <v>1000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3</v>
      </c>
      <c r="AZ35" s="3">
        <v>1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2</v>
      </c>
      <c r="BH35" s="3">
        <v>0</v>
      </c>
      <c r="BI35" s="3">
        <v>1</v>
      </c>
      <c r="BJ35" s="3">
        <v>0</v>
      </c>
      <c r="BK35" s="3">
        <v>0</v>
      </c>
      <c r="BL35" s="3">
        <v>4</v>
      </c>
      <c r="BM35" s="3">
        <v>3</v>
      </c>
      <c r="BN35" s="3">
        <v>0</v>
      </c>
      <c r="BO35" s="3">
        <v>0</v>
      </c>
      <c r="BP35" s="3">
        <v>2</v>
      </c>
      <c r="BQ35" s="3">
        <v>0</v>
      </c>
      <c r="BR35" s="3">
        <v>0</v>
      </c>
      <c r="BS35" s="3">
        <v>1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1</v>
      </c>
      <c r="CF35" s="3">
        <v>0</v>
      </c>
      <c r="CG35" s="3">
        <v>0</v>
      </c>
      <c r="CH35" s="3">
        <v>0</v>
      </c>
      <c r="CI35" s="3">
        <v>0</v>
      </c>
      <c r="CJ35" s="3">
        <v>2</v>
      </c>
      <c r="CK35" s="3">
        <v>2</v>
      </c>
      <c r="CL35" s="3">
        <v>1</v>
      </c>
      <c r="CM35" s="3">
        <f t="shared" si="7"/>
        <v>10</v>
      </c>
      <c r="CN35" s="3">
        <f t="shared" si="8"/>
        <v>29.166666666666668</v>
      </c>
      <c r="CO35" s="3">
        <f t="shared" si="9"/>
        <v>12.5</v>
      </c>
      <c r="CP35" s="3">
        <f t="shared" si="10"/>
        <v>0</v>
      </c>
      <c r="CQ35" s="3">
        <f t="shared" si="11"/>
        <v>0</v>
      </c>
      <c r="CR35" s="3">
        <f t="shared" si="12"/>
        <v>6.25</v>
      </c>
      <c r="CS35">
        <f t="shared" si="13"/>
        <v>0</v>
      </c>
      <c r="CT35">
        <f t="shared" si="14"/>
        <v>41.666666666666664</v>
      </c>
      <c r="CU35">
        <f t="shared" si="15"/>
        <v>12.447916666666668</v>
      </c>
      <c r="CV35">
        <v>1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2</v>
      </c>
      <c r="DF35">
        <v>0</v>
      </c>
      <c r="DG35">
        <v>0</v>
      </c>
      <c r="DH35">
        <v>0</v>
      </c>
      <c r="DI35">
        <v>1</v>
      </c>
      <c r="DJ35">
        <v>0</v>
      </c>
      <c r="DK35">
        <f t="shared" si="2"/>
        <v>4</v>
      </c>
      <c r="DL35">
        <v>0</v>
      </c>
      <c r="DM35">
        <v>0</v>
      </c>
      <c r="DN35">
        <v>0</v>
      </c>
      <c r="DO35">
        <v>0</v>
      </c>
      <c r="DP35">
        <v>1</v>
      </c>
      <c r="DQ35">
        <v>0</v>
      </c>
      <c r="DR35">
        <v>4</v>
      </c>
      <c r="DS35">
        <v>1</v>
      </c>
      <c r="DT35">
        <v>3</v>
      </c>
      <c r="DU35">
        <v>3</v>
      </c>
      <c r="DV35">
        <v>1</v>
      </c>
      <c r="DW35">
        <v>0</v>
      </c>
      <c r="DX35">
        <v>3</v>
      </c>
      <c r="DY35">
        <f t="shared" si="16"/>
        <v>16</v>
      </c>
      <c r="DZ35">
        <v>0</v>
      </c>
      <c r="EA35">
        <v>1</v>
      </c>
      <c r="EB35">
        <v>2</v>
      </c>
      <c r="EC35">
        <v>2</v>
      </c>
      <c r="ED35">
        <v>2</v>
      </c>
      <c r="EE35">
        <v>2</v>
      </c>
      <c r="EF35">
        <v>2</v>
      </c>
      <c r="EG35">
        <v>0</v>
      </c>
      <c r="EH35">
        <v>0</v>
      </c>
      <c r="EI35">
        <v>1</v>
      </c>
      <c r="EJ35">
        <v>1</v>
      </c>
      <c r="EK35">
        <v>1</v>
      </c>
      <c r="EL35">
        <v>3</v>
      </c>
      <c r="EM35">
        <v>4</v>
      </c>
      <c r="EN35">
        <v>0</v>
      </c>
      <c r="EO35">
        <v>0</v>
      </c>
      <c r="EP35">
        <v>0</v>
      </c>
      <c r="EQ35">
        <v>1</v>
      </c>
      <c r="ER35">
        <v>1</v>
      </c>
      <c r="ES35">
        <v>0</v>
      </c>
      <c r="ET35">
        <v>0</v>
      </c>
      <c r="EU35">
        <v>2</v>
      </c>
      <c r="EV35">
        <v>1</v>
      </c>
      <c r="EW35">
        <v>1</v>
      </c>
      <c r="EX35">
        <v>2</v>
      </c>
      <c r="EY35">
        <v>0</v>
      </c>
      <c r="EZ35">
        <v>1</v>
      </c>
      <c r="FA35">
        <v>2</v>
      </c>
      <c r="FB35">
        <v>3</v>
      </c>
      <c r="FC35">
        <v>0</v>
      </c>
      <c r="FD35">
        <v>0</v>
      </c>
      <c r="FE35">
        <v>0</v>
      </c>
      <c r="FF35">
        <v>2</v>
      </c>
      <c r="FG35">
        <f t="shared" si="3"/>
        <v>37</v>
      </c>
      <c r="FH35">
        <v>0</v>
      </c>
      <c r="FI35">
        <v>0</v>
      </c>
      <c r="FJ35">
        <v>1</v>
      </c>
      <c r="FK35">
        <v>3</v>
      </c>
      <c r="FL35">
        <v>3</v>
      </c>
      <c r="FM35">
        <v>1</v>
      </c>
      <c r="FN35">
        <f t="shared" si="4"/>
        <v>8</v>
      </c>
      <c r="FO35">
        <f t="shared" si="17"/>
        <v>65</v>
      </c>
      <c r="FP35">
        <v>3</v>
      </c>
      <c r="FQ35">
        <v>3</v>
      </c>
      <c r="FR35">
        <v>3</v>
      </c>
      <c r="FS35">
        <v>6</v>
      </c>
      <c r="FT35">
        <v>2</v>
      </c>
      <c r="FU35">
        <v>2</v>
      </c>
      <c r="FV35">
        <v>2</v>
      </c>
      <c r="FW35">
        <v>4</v>
      </c>
      <c r="FX35">
        <f t="shared" si="18"/>
        <v>22</v>
      </c>
      <c r="FY35">
        <v>0</v>
      </c>
      <c r="FZ35">
        <f t="shared" si="6"/>
        <v>2</v>
      </c>
      <c r="GA35">
        <v>0</v>
      </c>
    </row>
    <row r="36" spans="1:183" x14ac:dyDescent="0.2">
      <c r="A36">
        <v>35</v>
      </c>
      <c r="B36">
        <v>1</v>
      </c>
      <c r="C36">
        <v>1</v>
      </c>
      <c r="D36">
        <v>1</v>
      </c>
      <c r="E36" s="2">
        <v>24589</v>
      </c>
      <c r="F36" s="2">
        <v>44460</v>
      </c>
      <c r="G36" s="3">
        <f t="shared" si="0"/>
        <v>54.333333333333336</v>
      </c>
      <c r="H36">
        <v>52</v>
      </c>
      <c r="I36" s="3">
        <f t="shared" si="1"/>
        <v>2.3333333333333357</v>
      </c>
      <c r="J36">
        <v>0</v>
      </c>
      <c r="K36">
        <v>1</v>
      </c>
      <c r="L36">
        <v>0</v>
      </c>
      <c r="M36">
        <v>0</v>
      </c>
      <c r="N36">
        <v>3</v>
      </c>
      <c r="O36">
        <v>0</v>
      </c>
      <c r="P36">
        <v>4</v>
      </c>
      <c r="Q36">
        <v>2</v>
      </c>
      <c r="R36">
        <v>1</v>
      </c>
      <c r="S36">
        <v>1</v>
      </c>
      <c r="T36">
        <v>1</v>
      </c>
      <c r="U36">
        <v>0</v>
      </c>
      <c r="V36">
        <v>1</v>
      </c>
      <c r="W36">
        <v>1</v>
      </c>
      <c r="X36">
        <v>1</v>
      </c>
      <c r="Y36">
        <v>1</v>
      </c>
      <c r="Z36">
        <v>0</v>
      </c>
      <c r="AA36">
        <v>1</v>
      </c>
      <c r="AB36">
        <v>0</v>
      </c>
      <c r="AC36" s="5">
        <v>5</v>
      </c>
      <c r="AD36">
        <v>0</v>
      </c>
      <c r="AE36">
        <v>1</v>
      </c>
      <c r="AF36">
        <v>0</v>
      </c>
      <c r="AG36">
        <v>0</v>
      </c>
      <c r="AH36">
        <v>0</v>
      </c>
      <c r="AI36">
        <f>AJ36*ledd!$B$2+AK36*ledd!$B$3+AL36*ledd!$B$4+AM36*ledd!$B$5+AN36*ledd!$B$6+AO36*ledd!$B$7+AP36*ledd!$B$8+AQ36*ledd!$B$9+AR36*ledd!$B$10+AS36*ledd!$B$11+AT36*ledd!$B$12+AU36*ledd!$B$13+AV36*ledd!$B$14+AW36*ledd!$B$15+AX36*ledd!$B$16</f>
        <v>105</v>
      </c>
      <c r="AJ36">
        <v>0</v>
      </c>
      <c r="AK36">
        <v>0</v>
      </c>
      <c r="AL36">
        <v>0</v>
      </c>
      <c r="AM36">
        <v>0</v>
      </c>
      <c r="AN36">
        <v>1.05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2</v>
      </c>
      <c r="AZ36" s="3">
        <v>0</v>
      </c>
      <c r="BA36" s="3">
        <v>0</v>
      </c>
      <c r="BB36" s="3">
        <v>0</v>
      </c>
      <c r="BC36" s="3">
        <v>3</v>
      </c>
      <c r="BD36" s="3">
        <v>3</v>
      </c>
      <c r="BE36" s="3">
        <v>3</v>
      </c>
      <c r="BF36" s="3">
        <v>3</v>
      </c>
      <c r="BG36" s="3">
        <v>0</v>
      </c>
      <c r="BH36" s="3">
        <v>0</v>
      </c>
      <c r="BI36" s="3">
        <v>2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2</v>
      </c>
      <c r="BQ36" s="3">
        <v>0</v>
      </c>
      <c r="BR36" s="3">
        <v>2</v>
      </c>
      <c r="BS36" s="3">
        <v>0</v>
      </c>
      <c r="BT36" s="3">
        <v>0</v>
      </c>
      <c r="BU36" s="3">
        <v>2</v>
      </c>
      <c r="BV36" s="3">
        <v>2</v>
      </c>
      <c r="BW36" s="3">
        <v>0</v>
      </c>
      <c r="BX36" s="3">
        <v>2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2</v>
      </c>
      <c r="CE36" s="3">
        <v>0</v>
      </c>
      <c r="CF36" s="3">
        <v>0</v>
      </c>
      <c r="CG36" s="3">
        <v>2</v>
      </c>
      <c r="CH36" s="3">
        <v>2</v>
      </c>
      <c r="CI36" s="3">
        <v>1</v>
      </c>
      <c r="CJ36" s="3">
        <v>0</v>
      </c>
      <c r="CK36" s="3">
        <v>1</v>
      </c>
      <c r="CL36" s="3">
        <v>0</v>
      </c>
      <c r="CM36" s="3">
        <f t="shared" si="7"/>
        <v>35</v>
      </c>
      <c r="CN36" s="3">
        <f t="shared" si="8"/>
        <v>0</v>
      </c>
      <c r="CO36" s="3">
        <f t="shared" si="9"/>
        <v>25</v>
      </c>
      <c r="CP36" s="3">
        <f t="shared" si="10"/>
        <v>25</v>
      </c>
      <c r="CQ36" s="3">
        <f t="shared" si="11"/>
        <v>0</v>
      </c>
      <c r="CR36" s="3">
        <f t="shared" si="12"/>
        <v>12.5</v>
      </c>
      <c r="CS36">
        <f t="shared" si="13"/>
        <v>41.666666666666664</v>
      </c>
      <c r="CT36">
        <f t="shared" si="14"/>
        <v>8.3333333333333339</v>
      </c>
      <c r="CU36">
        <f t="shared" si="15"/>
        <v>18.4375</v>
      </c>
      <c r="CV36">
        <v>0</v>
      </c>
      <c r="CW36">
        <v>0</v>
      </c>
      <c r="CX36">
        <v>1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1</v>
      </c>
      <c r="DF36">
        <v>0</v>
      </c>
      <c r="DG36">
        <v>0</v>
      </c>
      <c r="DH36">
        <v>0</v>
      </c>
      <c r="DI36">
        <v>1</v>
      </c>
      <c r="DJ36">
        <v>0</v>
      </c>
      <c r="DK36">
        <f t="shared" si="2"/>
        <v>3</v>
      </c>
      <c r="DL36">
        <v>1</v>
      </c>
      <c r="DM36">
        <v>0</v>
      </c>
      <c r="DN36">
        <v>1</v>
      </c>
      <c r="DO36">
        <v>1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3</v>
      </c>
      <c r="DV36">
        <v>1</v>
      </c>
      <c r="DW36">
        <v>2</v>
      </c>
      <c r="DX36">
        <v>1</v>
      </c>
      <c r="DY36">
        <f t="shared" si="16"/>
        <v>11</v>
      </c>
      <c r="DZ36">
        <v>1</v>
      </c>
      <c r="EA36">
        <v>2</v>
      </c>
      <c r="EB36">
        <v>2</v>
      </c>
      <c r="EC36">
        <v>2</v>
      </c>
      <c r="ED36">
        <v>3</v>
      </c>
      <c r="EE36">
        <v>2</v>
      </c>
      <c r="EF36">
        <v>3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1</v>
      </c>
      <c r="ER36">
        <v>3</v>
      </c>
      <c r="ES36">
        <v>1</v>
      </c>
      <c r="ET36">
        <v>1</v>
      </c>
      <c r="EU36">
        <v>2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1</v>
      </c>
      <c r="FB36">
        <v>3</v>
      </c>
      <c r="FC36">
        <v>0</v>
      </c>
      <c r="FD36">
        <v>0</v>
      </c>
      <c r="FE36">
        <v>0</v>
      </c>
      <c r="FF36">
        <v>2</v>
      </c>
      <c r="FG36">
        <f t="shared" si="3"/>
        <v>29</v>
      </c>
      <c r="FH36">
        <v>2</v>
      </c>
      <c r="FI36">
        <v>2</v>
      </c>
      <c r="FJ36">
        <v>1</v>
      </c>
      <c r="FK36">
        <v>0</v>
      </c>
      <c r="FL36">
        <v>0</v>
      </c>
      <c r="FM36">
        <v>1</v>
      </c>
      <c r="FN36">
        <f t="shared" si="4"/>
        <v>6</v>
      </c>
      <c r="FO36">
        <f t="shared" si="17"/>
        <v>49</v>
      </c>
      <c r="FP36">
        <v>6</v>
      </c>
      <c r="FQ36">
        <v>4</v>
      </c>
      <c r="FR36">
        <v>3</v>
      </c>
      <c r="FS36">
        <v>6</v>
      </c>
      <c r="FT36">
        <v>3</v>
      </c>
      <c r="FU36">
        <v>2</v>
      </c>
      <c r="FV36">
        <v>5</v>
      </c>
      <c r="FW36">
        <v>6</v>
      </c>
      <c r="FX36">
        <f t="shared" si="18"/>
        <v>29</v>
      </c>
      <c r="FY36">
        <v>1</v>
      </c>
      <c r="FZ36">
        <f t="shared" si="6"/>
        <v>2</v>
      </c>
      <c r="GA36">
        <v>1</v>
      </c>
    </row>
    <row r="37" spans="1:183" x14ac:dyDescent="0.2">
      <c r="A37">
        <v>36</v>
      </c>
      <c r="B37">
        <v>1</v>
      </c>
      <c r="C37">
        <v>1</v>
      </c>
      <c r="D37">
        <v>0</v>
      </c>
      <c r="E37" s="2">
        <v>21630</v>
      </c>
      <c r="F37" s="2">
        <v>44461</v>
      </c>
      <c r="G37" s="3">
        <f t="shared" si="0"/>
        <v>62.5</v>
      </c>
      <c r="H37">
        <v>61</v>
      </c>
      <c r="I37" s="3">
        <f t="shared" si="1"/>
        <v>1.5</v>
      </c>
      <c r="J37">
        <v>0</v>
      </c>
      <c r="K37">
        <v>1</v>
      </c>
      <c r="L37">
        <v>0</v>
      </c>
      <c r="M37">
        <v>0</v>
      </c>
      <c r="N37">
        <v>2</v>
      </c>
      <c r="O37">
        <v>1</v>
      </c>
      <c r="P37">
        <v>3</v>
      </c>
      <c r="Q37">
        <v>2</v>
      </c>
      <c r="R37">
        <v>1</v>
      </c>
      <c r="S37">
        <v>0</v>
      </c>
      <c r="T37">
        <v>0</v>
      </c>
      <c r="U37">
        <v>0</v>
      </c>
      <c r="V37">
        <v>0</v>
      </c>
      <c r="W37">
        <v>1</v>
      </c>
      <c r="X37">
        <v>3</v>
      </c>
      <c r="Y37">
        <v>3</v>
      </c>
      <c r="Z37">
        <v>0</v>
      </c>
      <c r="AA37">
        <v>2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>
        <f>AJ37*ledd!$B$2+AK37*ledd!$B$3+AL37*ledd!$B$4+AM37*ledd!$B$5+AN37*ledd!$B$6+AO37*ledd!$B$7+AP37*ledd!$B$8+AQ37*ledd!$B$9+AR37*ledd!$B$10+AS37*ledd!$B$11+AT37*ledd!$B$12+AU37*ledd!$B$13+AV37*ledd!$B$14+AW37*ledd!$B$15+AX37*ledd!$B$16</f>
        <v>100</v>
      </c>
      <c r="AJ37">
        <v>100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4</v>
      </c>
      <c r="AZ37" s="3">
        <v>3</v>
      </c>
      <c r="BA37" s="3">
        <v>3</v>
      </c>
      <c r="BB37" s="3">
        <v>4</v>
      </c>
      <c r="BC37" s="3">
        <v>1</v>
      </c>
      <c r="BD37" s="3">
        <v>0</v>
      </c>
      <c r="BE37" s="3">
        <v>3</v>
      </c>
      <c r="BF37" s="3">
        <v>2</v>
      </c>
      <c r="BG37" s="3">
        <v>4</v>
      </c>
      <c r="BH37" s="3">
        <v>4</v>
      </c>
      <c r="BI37" s="3">
        <v>3</v>
      </c>
      <c r="BJ37" s="3">
        <v>2</v>
      </c>
      <c r="BK37" s="3">
        <v>3</v>
      </c>
      <c r="BL37" s="3">
        <v>4</v>
      </c>
      <c r="BM37" s="3">
        <v>0</v>
      </c>
      <c r="BN37" s="3">
        <v>1</v>
      </c>
      <c r="BO37" s="3">
        <v>0</v>
      </c>
      <c r="BP37" s="3">
        <v>3</v>
      </c>
      <c r="BQ37" s="3">
        <v>3</v>
      </c>
      <c r="BR37" s="3">
        <v>0</v>
      </c>
      <c r="BS37" s="3">
        <v>3</v>
      </c>
      <c r="BT37" s="3">
        <v>3</v>
      </c>
      <c r="BU37" s="3">
        <v>3</v>
      </c>
      <c r="BV37" s="3">
        <v>0</v>
      </c>
      <c r="BW37" s="3">
        <v>0</v>
      </c>
      <c r="BX37" s="3">
        <v>0</v>
      </c>
      <c r="BY37" s="3">
        <v>0</v>
      </c>
      <c r="BZ37" s="3">
        <v>3</v>
      </c>
      <c r="CA37" s="3">
        <v>0</v>
      </c>
      <c r="CB37" s="3">
        <v>0</v>
      </c>
      <c r="CC37" s="3">
        <v>3</v>
      </c>
      <c r="CD37" s="3">
        <v>3</v>
      </c>
      <c r="CE37" s="3">
        <v>1</v>
      </c>
      <c r="CF37" s="3">
        <v>3</v>
      </c>
      <c r="CG37" s="3">
        <v>0</v>
      </c>
      <c r="CH37" s="3">
        <v>0</v>
      </c>
      <c r="CI37" s="3">
        <v>3</v>
      </c>
      <c r="CJ37" s="3">
        <v>3</v>
      </c>
      <c r="CK37" s="3">
        <v>1</v>
      </c>
      <c r="CL37" s="3">
        <v>0</v>
      </c>
      <c r="CM37" s="3">
        <f t="shared" si="7"/>
        <v>67.5</v>
      </c>
      <c r="CN37" s="3">
        <f t="shared" si="8"/>
        <v>41.666666666666664</v>
      </c>
      <c r="CO37" s="3">
        <f t="shared" si="9"/>
        <v>62.5</v>
      </c>
      <c r="CP37" s="3">
        <f t="shared" si="10"/>
        <v>0</v>
      </c>
      <c r="CQ37" s="3">
        <f t="shared" si="11"/>
        <v>25</v>
      </c>
      <c r="CR37" s="3">
        <f t="shared" si="12"/>
        <v>62.5</v>
      </c>
      <c r="CS37">
        <f t="shared" si="13"/>
        <v>25</v>
      </c>
      <c r="CT37">
        <f t="shared" si="14"/>
        <v>33.333333333333336</v>
      </c>
      <c r="CU37">
        <f t="shared" si="15"/>
        <v>39.687499999999993</v>
      </c>
      <c r="CV37">
        <v>1</v>
      </c>
      <c r="CW37">
        <v>0</v>
      </c>
      <c r="CX37">
        <v>4</v>
      </c>
      <c r="CY37">
        <v>3</v>
      </c>
      <c r="CZ37">
        <v>3</v>
      </c>
      <c r="DA37">
        <v>1</v>
      </c>
      <c r="DB37">
        <v>0</v>
      </c>
      <c r="DC37">
        <v>3</v>
      </c>
      <c r="DD37">
        <v>2</v>
      </c>
      <c r="DE37">
        <v>2</v>
      </c>
      <c r="DF37">
        <v>3</v>
      </c>
      <c r="DG37">
        <v>0</v>
      </c>
      <c r="DH37">
        <v>2</v>
      </c>
      <c r="DI37">
        <v>3</v>
      </c>
      <c r="DJ37">
        <v>0</v>
      </c>
      <c r="DK37">
        <f t="shared" si="2"/>
        <v>27</v>
      </c>
      <c r="DL37">
        <v>0</v>
      </c>
      <c r="DM37">
        <v>2</v>
      </c>
      <c r="DN37">
        <v>1</v>
      </c>
      <c r="DO37">
        <v>0</v>
      </c>
      <c r="DP37">
        <v>3</v>
      </c>
      <c r="DQ37">
        <v>3</v>
      </c>
      <c r="DR37">
        <v>0</v>
      </c>
      <c r="DS37">
        <v>3</v>
      </c>
      <c r="DT37">
        <v>3</v>
      </c>
      <c r="DU37">
        <v>1</v>
      </c>
      <c r="DV37">
        <v>2</v>
      </c>
      <c r="DW37">
        <v>3</v>
      </c>
      <c r="DX37">
        <v>4</v>
      </c>
      <c r="DY37">
        <f t="shared" si="16"/>
        <v>25</v>
      </c>
      <c r="DZ37">
        <v>1</v>
      </c>
      <c r="EA37">
        <v>2</v>
      </c>
      <c r="EB37">
        <v>0</v>
      </c>
      <c r="EC37">
        <v>0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0</v>
      </c>
      <c r="EJ37">
        <v>0</v>
      </c>
      <c r="EK37">
        <v>1</v>
      </c>
      <c r="EL37">
        <v>2</v>
      </c>
      <c r="EM37">
        <v>1</v>
      </c>
      <c r="EN37">
        <v>3</v>
      </c>
      <c r="EO37">
        <v>0</v>
      </c>
      <c r="EP37">
        <v>2</v>
      </c>
      <c r="EQ37">
        <v>1</v>
      </c>
      <c r="ER37">
        <v>3</v>
      </c>
      <c r="ES37">
        <v>1</v>
      </c>
      <c r="ET37">
        <v>3</v>
      </c>
      <c r="EU37">
        <v>2</v>
      </c>
      <c r="EV37">
        <v>2</v>
      </c>
      <c r="EW37">
        <v>1</v>
      </c>
      <c r="EX37">
        <v>1</v>
      </c>
      <c r="EY37">
        <v>1</v>
      </c>
      <c r="EZ37">
        <v>1</v>
      </c>
      <c r="FA37">
        <v>3</v>
      </c>
      <c r="FB37">
        <v>0</v>
      </c>
      <c r="FC37">
        <v>3</v>
      </c>
      <c r="FD37">
        <v>3</v>
      </c>
      <c r="FE37">
        <v>0</v>
      </c>
      <c r="FF37">
        <v>3</v>
      </c>
      <c r="FG37">
        <f t="shared" si="3"/>
        <v>45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f t="shared" si="4"/>
        <v>0</v>
      </c>
      <c r="FO37">
        <f t="shared" si="17"/>
        <v>97</v>
      </c>
      <c r="FP37">
        <v>19</v>
      </c>
      <c r="FQ37">
        <v>5</v>
      </c>
      <c r="FR37">
        <v>3</v>
      </c>
      <c r="FS37">
        <v>6</v>
      </c>
      <c r="FT37">
        <v>3</v>
      </c>
      <c r="FU37">
        <v>2</v>
      </c>
      <c r="FV37">
        <v>4</v>
      </c>
      <c r="FW37">
        <v>6</v>
      </c>
      <c r="FX37">
        <f t="shared" si="18"/>
        <v>29</v>
      </c>
      <c r="FY37">
        <v>0</v>
      </c>
      <c r="FZ37">
        <f t="shared" si="6"/>
        <v>2</v>
      </c>
      <c r="GA37">
        <v>1</v>
      </c>
    </row>
    <row r="38" spans="1:183" x14ac:dyDescent="0.2">
      <c r="A38">
        <v>37</v>
      </c>
      <c r="B38">
        <v>1</v>
      </c>
      <c r="C38">
        <v>1</v>
      </c>
      <c r="D38">
        <v>1</v>
      </c>
      <c r="E38" s="2">
        <v>17422</v>
      </c>
      <c r="F38" s="2">
        <v>44466</v>
      </c>
      <c r="G38" s="3">
        <f t="shared" si="0"/>
        <v>74</v>
      </c>
      <c r="H38">
        <v>63</v>
      </c>
      <c r="I38" s="3">
        <f t="shared" si="1"/>
        <v>11</v>
      </c>
      <c r="J38">
        <v>0</v>
      </c>
      <c r="K38">
        <v>1</v>
      </c>
      <c r="L38">
        <v>8</v>
      </c>
      <c r="M38">
        <v>0</v>
      </c>
      <c r="N38">
        <v>2</v>
      </c>
      <c r="O38">
        <v>1</v>
      </c>
      <c r="P38">
        <v>0</v>
      </c>
      <c r="Q38">
        <v>4</v>
      </c>
      <c r="R38">
        <v>3</v>
      </c>
      <c r="S38">
        <v>1</v>
      </c>
      <c r="T38">
        <v>1</v>
      </c>
      <c r="U38">
        <v>0</v>
      </c>
      <c r="V38">
        <v>1</v>
      </c>
      <c r="W38">
        <v>1</v>
      </c>
      <c r="X38">
        <v>2</v>
      </c>
      <c r="Y38">
        <v>1</v>
      </c>
      <c r="Z38">
        <v>0</v>
      </c>
      <c r="AA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f>AJ38*ledd!$B$2+AK38*ledd!$B$3+AL38*ledd!$B$4+AM38*ledd!$B$5+AN38*ledd!$B$6+AO38*ledd!$B$7+AP38*ledd!$B$8+AQ38*ledd!$B$9+AR38*ledd!$B$10+AS38*ledd!$B$11+AT38*ledd!$B$12+AU38*ledd!$B$13+AV38*ledd!$B$14+AW38*ledd!$B$15+AX38*ledd!$B$16</f>
        <v>716.5</v>
      </c>
      <c r="AJ38">
        <v>400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</v>
      </c>
      <c r="AT38">
        <v>200</v>
      </c>
      <c r="AU38">
        <v>0</v>
      </c>
      <c r="AV38">
        <v>0</v>
      </c>
      <c r="AW38">
        <v>0</v>
      </c>
      <c r="AX38">
        <v>50</v>
      </c>
      <c r="AY38">
        <v>3</v>
      </c>
      <c r="AZ38" s="3">
        <v>1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1</v>
      </c>
      <c r="BM38" s="3">
        <v>1</v>
      </c>
      <c r="BN38" s="3">
        <v>0</v>
      </c>
      <c r="BO38" s="3">
        <v>1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1</v>
      </c>
      <c r="BV38" s="3">
        <v>1</v>
      </c>
      <c r="BW38" s="3">
        <v>0</v>
      </c>
      <c r="BX38" s="3">
        <v>0</v>
      </c>
      <c r="BY38" s="3">
        <v>1</v>
      </c>
      <c r="BZ38" s="3">
        <v>0</v>
      </c>
      <c r="CA38" s="3">
        <v>1</v>
      </c>
      <c r="CB38" s="3">
        <v>1</v>
      </c>
      <c r="CC38" s="3">
        <v>0</v>
      </c>
      <c r="CD38" s="3">
        <v>1</v>
      </c>
      <c r="CE38" s="3">
        <v>2</v>
      </c>
      <c r="CF38" s="3">
        <v>0</v>
      </c>
      <c r="CG38" s="3">
        <v>1</v>
      </c>
      <c r="CH38" s="3">
        <v>0</v>
      </c>
      <c r="CI38" s="3">
        <v>0</v>
      </c>
      <c r="CJ38" s="3">
        <v>0</v>
      </c>
      <c r="CK38" s="3">
        <v>1</v>
      </c>
      <c r="CL38" s="3">
        <v>0</v>
      </c>
      <c r="CM38" s="3">
        <f t="shared" si="7"/>
        <v>2.5</v>
      </c>
      <c r="CN38" s="3">
        <f t="shared" si="8"/>
        <v>12.5</v>
      </c>
      <c r="CO38" s="3">
        <f t="shared" si="9"/>
        <v>4.166666666666667</v>
      </c>
      <c r="CP38" s="3">
        <f t="shared" si="10"/>
        <v>12.5</v>
      </c>
      <c r="CQ38" s="3">
        <f t="shared" si="11"/>
        <v>16.666666666666668</v>
      </c>
      <c r="CR38" s="3">
        <f t="shared" si="12"/>
        <v>18.75</v>
      </c>
      <c r="CS38">
        <f t="shared" si="13"/>
        <v>8.3333333333333339</v>
      </c>
      <c r="CT38">
        <f t="shared" si="14"/>
        <v>8.3333333333333339</v>
      </c>
      <c r="CU38">
        <f t="shared" si="15"/>
        <v>10.46875</v>
      </c>
      <c r="CV38">
        <v>1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2</v>
      </c>
      <c r="DE38">
        <v>0</v>
      </c>
      <c r="DF38">
        <v>1</v>
      </c>
      <c r="DG38">
        <v>2</v>
      </c>
      <c r="DH38">
        <v>0</v>
      </c>
      <c r="DI38">
        <v>1</v>
      </c>
      <c r="DJ38">
        <v>0</v>
      </c>
      <c r="DK38">
        <f t="shared" si="2"/>
        <v>7</v>
      </c>
      <c r="DL38">
        <v>2</v>
      </c>
      <c r="DM38">
        <v>1</v>
      </c>
      <c r="DN38">
        <v>0</v>
      </c>
      <c r="DO38">
        <v>0</v>
      </c>
      <c r="DP38">
        <v>0</v>
      </c>
      <c r="DQ38">
        <v>0</v>
      </c>
      <c r="DR38">
        <v>2</v>
      </c>
      <c r="DS38">
        <v>0</v>
      </c>
      <c r="DT38">
        <v>0</v>
      </c>
      <c r="DU38">
        <v>1</v>
      </c>
      <c r="DV38">
        <v>0</v>
      </c>
      <c r="DW38">
        <v>0</v>
      </c>
      <c r="DX38">
        <v>0</v>
      </c>
      <c r="DY38">
        <f t="shared" ref="DY38:DY39" si="19">SUM(DL38:DX38)</f>
        <v>6</v>
      </c>
      <c r="DZ38">
        <v>2</v>
      </c>
      <c r="EA38">
        <v>3</v>
      </c>
      <c r="EB38">
        <v>1</v>
      </c>
      <c r="EC38">
        <v>1</v>
      </c>
      <c r="ED38">
        <v>2</v>
      </c>
      <c r="EE38">
        <v>1</v>
      </c>
      <c r="EF38">
        <v>1</v>
      </c>
      <c r="EG38">
        <v>3</v>
      </c>
      <c r="EH38">
        <v>2</v>
      </c>
      <c r="EI38">
        <v>1</v>
      </c>
      <c r="EJ38">
        <v>2</v>
      </c>
      <c r="EK38">
        <v>2</v>
      </c>
      <c r="EL38">
        <v>2</v>
      </c>
      <c r="EM38">
        <v>1</v>
      </c>
      <c r="EN38">
        <v>2</v>
      </c>
      <c r="EO38">
        <v>0</v>
      </c>
      <c r="EP38">
        <v>1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1</v>
      </c>
      <c r="EW38">
        <v>1</v>
      </c>
      <c r="EX38">
        <v>0</v>
      </c>
      <c r="EY38">
        <v>1</v>
      </c>
      <c r="EZ38">
        <v>1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f t="shared" si="3"/>
        <v>31</v>
      </c>
      <c r="FH38">
        <v>1</v>
      </c>
      <c r="FI38">
        <v>0</v>
      </c>
      <c r="FJ38">
        <v>1</v>
      </c>
      <c r="FK38">
        <v>0</v>
      </c>
      <c r="FL38">
        <v>0</v>
      </c>
      <c r="FM38">
        <v>0</v>
      </c>
      <c r="FN38">
        <f t="shared" si="4"/>
        <v>2</v>
      </c>
      <c r="FO38">
        <f t="shared" si="17"/>
        <v>46</v>
      </c>
      <c r="FP38">
        <v>7</v>
      </c>
      <c r="FQ38">
        <v>2</v>
      </c>
      <c r="FR38">
        <v>3</v>
      </c>
      <c r="FS38">
        <v>5</v>
      </c>
      <c r="FT38">
        <v>2</v>
      </c>
      <c r="FU38">
        <v>1</v>
      </c>
      <c r="FV38">
        <v>2</v>
      </c>
      <c r="FW38">
        <v>5</v>
      </c>
      <c r="FX38">
        <f t="shared" si="18"/>
        <v>20</v>
      </c>
      <c r="FY38">
        <v>1</v>
      </c>
      <c r="FZ38">
        <f t="shared" si="6"/>
        <v>4</v>
      </c>
      <c r="GA38">
        <v>0</v>
      </c>
    </row>
    <row r="39" spans="1:183" x14ac:dyDescent="0.2">
      <c r="A39">
        <v>38</v>
      </c>
      <c r="B39">
        <v>1</v>
      </c>
      <c r="C39">
        <v>1</v>
      </c>
      <c r="D39">
        <v>1</v>
      </c>
      <c r="E39" s="2">
        <v>23868</v>
      </c>
      <c r="F39" s="2">
        <v>44471</v>
      </c>
      <c r="G39" s="3">
        <f t="shared" si="0"/>
        <v>56.333333333333336</v>
      </c>
      <c r="H39">
        <v>39</v>
      </c>
      <c r="I39" s="3">
        <f t="shared" si="1"/>
        <v>17.333333333333336</v>
      </c>
      <c r="J39">
        <v>0</v>
      </c>
      <c r="K39">
        <v>3</v>
      </c>
      <c r="L39">
        <v>1</v>
      </c>
      <c r="M39" s="5">
        <v>2</v>
      </c>
      <c r="N39" s="5" t="s">
        <v>276</v>
      </c>
      <c r="O39">
        <v>3</v>
      </c>
      <c r="P39">
        <v>1</v>
      </c>
      <c r="Q39">
        <v>2</v>
      </c>
      <c r="R39">
        <v>1</v>
      </c>
      <c r="S39">
        <v>1</v>
      </c>
      <c r="T39">
        <v>1</v>
      </c>
      <c r="U39">
        <v>0</v>
      </c>
      <c r="V39">
        <v>1</v>
      </c>
      <c r="W39">
        <v>1</v>
      </c>
      <c r="X39">
        <v>3</v>
      </c>
      <c r="Y39">
        <v>0</v>
      </c>
      <c r="AA39">
        <v>0</v>
      </c>
      <c r="AC39">
        <v>1</v>
      </c>
      <c r="AD39" s="5">
        <v>5</v>
      </c>
      <c r="AE39">
        <v>0</v>
      </c>
      <c r="AF39">
        <v>0</v>
      </c>
      <c r="AG39">
        <v>0</v>
      </c>
      <c r="AH39">
        <v>1</v>
      </c>
      <c r="AI39">
        <f>AJ39*ledd!$B$2+AK39*ledd!$B$3+AL39*ledd!$B$4+AM39*ledd!$B$5+AN39*ledd!$B$6+AO39*ledd!$B$7+AP39*ledd!$B$8+AQ39*ledd!$B$9+AR39*ledd!$B$10+AS39*ledd!$B$11+AT39*ledd!$B$12+AU39*ledd!$B$13+AV39*ledd!$B$14+AW39*ledd!$B$15+AX39*ledd!$B$16</f>
        <v>591.5</v>
      </c>
      <c r="AJ39">
        <v>500</v>
      </c>
      <c r="AK39">
        <v>100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50</v>
      </c>
      <c r="AY39">
        <v>4</v>
      </c>
      <c r="AZ39" s="3">
        <v>1</v>
      </c>
      <c r="BA39" s="3">
        <v>2</v>
      </c>
      <c r="BB39" s="3">
        <v>2</v>
      </c>
      <c r="BC39" s="3">
        <v>1</v>
      </c>
      <c r="BD39" s="3">
        <v>1</v>
      </c>
      <c r="BE39" s="3">
        <v>2</v>
      </c>
      <c r="BF39" s="3">
        <v>2</v>
      </c>
      <c r="BG39" s="3">
        <v>1</v>
      </c>
      <c r="BH39" s="3">
        <v>1</v>
      </c>
      <c r="BI39" s="3">
        <v>2</v>
      </c>
      <c r="BJ39" s="3">
        <v>0</v>
      </c>
      <c r="BK39" s="3">
        <v>2</v>
      </c>
      <c r="BL39" s="3">
        <v>2</v>
      </c>
      <c r="BM39" s="3">
        <v>2</v>
      </c>
      <c r="BN39" s="3">
        <v>2</v>
      </c>
      <c r="BO39" s="3">
        <v>2</v>
      </c>
      <c r="BP39" s="3">
        <v>3</v>
      </c>
      <c r="BQ39" s="3">
        <v>1</v>
      </c>
      <c r="BR39" s="3">
        <v>2</v>
      </c>
      <c r="BS39" s="3">
        <v>2</v>
      </c>
      <c r="BT39" s="3">
        <v>3</v>
      </c>
      <c r="BU39" s="3">
        <v>3</v>
      </c>
      <c r="BV39" s="3">
        <v>3</v>
      </c>
      <c r="BW39" s="3">
        <v>2</v>
      </c>
      <c r="BX39" s="3">
        <v>2</v>
      </c>
      <c r="BY39" s="3">
        <v>3</v>
      </c>
      <c r="BZ39" s="3">
        <v>2</v>
      </c>
      <c r="CA39" s="3">
        <v>1</v>
      </c>
      <c r="CB39" s="3">
        <v>2</v>
      </c>
      <c r="CC39" s="3">
        <v>1</v>
      </c>
      <c r="CD39" s="3">
        <v>3</v>
      </c>
      <c r="CE39" s="3">
        <v>3</v>
      </c>
      <c r="CF39" s="3">
        <v>2</v>
      </c>
      <c r="CG39" s="3">
        <v>2</v>
      </c>
      <c r="CH39" s="3">
        <v>2</v>
      </c>
      <c r="CI39" s="3">
        <v>2</v>
      </c>
      <c r="CJ39" s="3">
        <v>3</v>
      </c>
      <c r="CK39" s="3">
        <v>3</v>
      </c>
      <c r="CL39" s="3">
        <v>3</v>
      </c>
      <c r="CM39" s="3">
        <f t="shared" si="7"/>
        <v>37.5</v>
      </c>
      <c r="CN39" s="3">
        <f t="shared" si="8"/>
        <v>41.666666666666664</v>
      </c>
      <c r="CO39" s="3">
        <f t="shared" si="9"/>
        <v>58.333333333333336</v>
      </c>
      <c r="CP39" s="3">
        <f t="shared" si="10"/>
        <v>62.5</v>
      </c>
      <c r="CQ39" s="3">
        <f t="shared" si="11"/>
        <v>41.666666666666664</v>
      </c>
      <c r="CR39" s="3">
        <f t="shared" si="12"/>
        <v>56.25</v>
      </c>
      <c r="CS39">
        <f t="shared" si="13"/>
        <v>50</v>
      </c>
      <c r="CT39">
        <f t="shared" si="14"/>
        <v>75</v>
      </c>
      <c r="CU39">
        <f t="shared" si="15"/>
        <v>52.864583333333329</v>
      </c>
      <c r="CV39">
        <v>3</v>
      </c>
      <c r="CW39">
        <v>3</v>
      </c>
      <c r="CX39">
        <v>3</v>
      </c>
      <c r="CY39">
        <v>2</v>
      </c>
      <c r="CZ39">
        <v>3</v>
      </c>
      <c r="DA39">
        <v>3</v>
      </c>
      <c r="DB39">
        <v>0</v>
      </c>
      <c r="DC39">
        <v>2</v>
      </c>
      <c r="DD39">
        <v>1</v>
      </c>
      <c r="DE39">
        <v>1</v>
      </c>
      <c r="DF39">
        <v>2</v>
      </c>
      <c r="DG39">
        <v>1</v>
      </c>
      <c r="DH39">
        <v>0</v>
      </c>
      <c r="DI39">
        <v>3</v>
      </c>
      <c r="DJ39">
        <v>0</v>
      </c>
      <c r="DK39">
        <f t="shared" si="2"/>
        <v>27</v>
      </c>
      <c r="DL39">
        <v>3</v>
      </c>
      <c r="DM39">
        <v>3</v>
      </c>
      <c r="DN39">
        <v>1</v>
      </c>
      <c r="DO39">
        <v>0</v>
      </c>
      <c r="DP39">
        <v>1</v>
      </c>
      <c r="DQ39">
        <v>1</v>
      </c>
      <c r="DR39">
        <v>2</v>
      </c>
      <c r="DS39">
        <v>4</v>
      </c>
      <c r="DT39">
        <v>1</v>
      </c>
      <c r="DU39">
        <v>0</v>
      </c>
      <c r="DV39">
        <v>1</v>
      </c>
      <c r="DW39">
        <v>3</v>
      </c>
      <c r="DX39">
        <v>0</v>
      </c>
      <c r="DY39">
        <f t="shared" si="19"/>
        <v>20</v>
      </c>
      <c r="DZ39">
        <v>2</v>
      </c>
      <c r="EA39">
        <v>2</v>
      </c>
      <c r="EB39">
        <v>0</v>
      </c>
      <c r="EC39">
        <v>1</v>
      </c>
      <c r="ED39">
        <v>2</v>
      </c>
      <c r="EE39">
        <v>1</v>
      </c>
      <c r="EF39">
        <v>2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2</v>
      </c>
      <c r="EM39">
        <v>0</v>
      </c>
      <c r="EN39">
        <v>3</v>
      </c>
      <c r="EO39">
        <v>0</v>
      </c>
      <c r="EP39">
        <v>0</v>
      </c>
      <c r="EQ39">
        <v>0</v>
      </c>
      <c r="ER39">
        <v>1</v>
      </c>
      <c r="ES39">
        <v>0</v>
      </c>
      <c r="ET39">
        <v>1</v>
      </c>
      <c r="EU39">
        <v>2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f t="shared" si="3"/>
        <v>19</v>
      </c>
      <c r="FH39">
        <v>1</v>
      </c>
      <c r="FI39">
        <v>0</v>
      </c>
      <c r="FJ39">
        <v>0</v>
      </c>
      <c r="FK39">
        <v>0</v>
      </c>
      <c r="FL39">
        <v>0</v>
      </c>
      <c r="FM39">
        <v>0</v>
      </c>
      <c r="FN39">
        <f t="shared" si="4"/>
        <v>1</v>
      </c>
      <c r="FO39">
        <f t="shared" si="17"/>
        <v>67</v>
      </c>
      <c r="FP39">
        <v>19</v>
      </c>
      <c r="FQ39">
        <v>5</v>
      </c>
      <c r="FR39">
        <v>3</v>
      </c>
      <c r="FS39">
        <v>6</v>
      </c>
      <c r="FT39">
        <v>2</v>
      </c>
      <c r="FU39">
        <v>2</v>
      </c>
      <c r="FV39">
        <v>2</v>
      </c>
      <c r="FW39">
        <v>6</v>
      </c>
      <c r="FX39">
        <f t="shared" si="18"/>
        <v>26</v>
      </c>
      <c r="FY39">
        <v>0</v>
      </c>
      <c r="FZ39">
        <f t="shared" si="6"/>
        <v>1</v>
      </c>
      <c r="GA39">
        <v>1</v>
      </c>
    </row>
    <row r="40" spans="1:183" x14ac:dyDescent="0.2">
      <c r="A40">
        <v>39</v>
      </c>
      <c r="B40">
        <v>1</v>
      </c>
      <c r="C40">
        <v>1</v>
      </c>
      <c r="D40">
        <v>1</v>
      </c>
      <c r="E40" s="2">
        <v>20678</v>
      </c>
      <c r="F40" s="2">
        <v>44483</v>
      </c>
      <c r="G40" s="3">
        <f t="shared" si="0"/>
        <v>65.166666666666671</v>
      </c>
      <c r="H40">
        <v>54</v>
      </c>
      <c r="I40" s="3">
        <f t="shared" si="1"/>
        <v>11.166666666666671</v>
      </c>
      <c r="J40">
        <v>0</v>
      </c>
      <c r="K40">
        <v>0</v>
      </c>
      <c r="L40">
        <v>8</v>
      </c>
      <c r="M40">
        <v>0</v>
      </c>
      <c r="N40">
        <v>1</v>
      </c>
      <c r="O40">
        <v>0</v>
      </c>
      <c r="P40">
        <v>2</v>
      </c>
      <c r="Q40">
        <v>2</v>
      </c>
      <c r="R40">
        <v>1</v>
      </c>
      <c r="S40">
        <v>1</v>
      </c>
      <c r="T40">
        <v>1</v>
      </c>
      <c r="U40">
        <v>0</v>
      </c>
      <c r="V40">
        <v>1</v>
      </c>
      <c r="W40">
        <v>1</v>
      </c>
      <c r="X40">
        <v>2</v>
      </c>
      <c r="Y40">
        <v>2</v>
      </c>
      <c r="Z40">
        <v>6</v>
      </c>
      <c r="AA40">
        <v>2</v>
      </c>
      <c r="AB40">
        <v>6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  <c r="AI40">
        <f>AJ40*ledd!$B$2+AK40*ledd!$B$3+AL40*ledd!$B$4+AM40*ledd!$B$5+AN40*ledd!$B$6+AO40*ledd!$B$7+AP40*ledd!$B$8+AQ40*ledd!$B$9+AR40*ledd!$B$10+AS40*ledd!$B$11+AT40*ledd!$B$12+AU40*ledd!$B$13+AV40*ledd!$B$14+AW40*ledd!$B$15+AX40*ledd!$B$16</f>
        <v>431.5</v>
      </c>
      <c r="AJ40">
        <v>300</v>
      </c>
      <c r="AK40">
        <v>100</v>
      </c>
      <c r="AL40">
        <v>0</v>
      </c>
      <c r="AM40">
        <v>0</v>
      </c>
      <c r="AN40">
        <v>0</v>
      </c>
      <c r="AO40">
        <v>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50</v>
      </c>
      <c r="AY40">
        <v>2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2</v>
      </c>
      <c r="BQ40" s="3">
        <v>0</v>
      </c>
      <c r="BR40" s="3">
        <v>0</v>
      </c>
      <c r="BS40" s="3">
        <v>0</v>
      </c>
      <c r="BT40" s="3">
        <v>0</v>
      </c>
      <c r="BU40" s="3">
        <v>1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1</v>
      </c>
      <c r="CE40" s="3">
        <v>0</v>
      </c>
      <c r="CF40" s="3">
        <v>3</v>
      </c>
      <c r="CG40" s="3">
        <v>0</v>
      </c>
      <c r="CH40" s="3">
        <v>0</v>
      </c>
      <c r="CI40" s="3">
        <v>0</v>
      </c>
      <c r="CJ40" s="3">
        <v>3</v>
      </c>
      <c r="CK40" s="3">
        <v>1</v>
      </c>
      <c r="CL40" s="3">
        <v>0</v>
      </c>
      <c r="CM40" s="3">
        <f t="shared" si="7"/>
        <v>0</v>
      </c>
      <c r="CN40" s="3">
        <f t="shared" si="8"/>
        <v>0</v>
      </c>
      <c r="CO40" s="3">
        <f t="shared" si="9"/>
        <v>12.5</v>
      </c>
      <c r="CP40" s="3">
        <f t="shared" si="10"/>
        <v>0</v>
      </c>
      <c r="CQ40" s="3">
        <f t="shared" si="11"/>
        <v>0</v>
      </c>
      <c r="CR40" s="3">
        <f t="shared" si="12"/>
        <v>25</v>
      </c>
      <c r="CS40">
        <f t="shared" si="13"/>
        <v>0</v>
      </c>
      <c r="CT40">
        <f t="shared" si="14"/>
        <v>33.333333333333336</v>
      </c>
      <c r="CU40">
        <f t="shared" si="15"/>
        <v>8.8541666666666679</v>
      </c>
      <c r="CV40">
        <v>1</v>
      </c>
      <c r="CW40">
        <v>0</v>
      </c>
      <c r="CX40">
        <v>1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2</v>
      </c>
      <c r="DF40">
        <v>3</v>
      </c>
      <c r="DG40">
        <v>0</v>
      </c>
      <c r="DH40">
        <v>0</v>
      </c>
      <c r="DI40">
        <v>0</v>
      </c>
      <c r="DJ40">
        <v>0</v>
      </c>
      <c r="DK40">
        <f t="shared" si="2"/>
        <v>7</v>
      </c>
      <c r="DL40">
        <v>1</v>
      </c>
      <c r="DM40">
        <v>1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1</v>
      </c>
      <c r="DV40">
        <v>0</v>
      </c>
      <c r="DW40">
        <v>0</v>
      </c>
      <c r="DX40">
        <v>0</v>
      </c>
      <c r="DY40">
        <f t="shared" si="16"/>
        <v>3</v>
      </c>
      <c r="DZ40">
        <v>0</v>
      </c>
      <c r="EA40">
        <v>0</v>
      </c>
      <c r="EB40">
        <v>1</v>
      </c>
      <c r="EC40">
        <v>2</v>
      </c>
      <c r="ED40">
        <v>0</v>
      </c>
      <c r="EE40">
        <v>0</v>
      </c>
      <c r="EF40">
        <v>2</v>
      </c>
      <c r="EG40">
        <v>0</v>
      </c>
      <c r="EH40">
        <v>0</v>
      </c>
      <c r="EI40">
        <v>1</v>
      </c>
      <c r="EJ40">
        <v>1</v>
      </c>
      <c r="EK40">
        <v>1</v>
      </c>
      <c r="EL40">
        <v>2</v>
      </c>
      <c r="EM40">
        <v>0</v>
      </c>
      <c r="EN40">
        <v>1</v>
      </c>
      <c r="EO40">
        <v>2</v>
      </c>
      <c r="EP40">
        <v>3</v>
      </c>
      <c r="EQ40">
        <v>0</v>
      </c>
      <c r="ER40">
        <v>0</v>
      </c>
      <c r="ES40">
        <v>0</v>
      </c>
      <c r="ET40">
        <v>1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f t="shared" si="3"/>
        <v>17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f t="shared" si="4"/>
        <v>0</v>
      </c>
      <c r="FO40">
        <f t="shared" si="17"/>
        <v>27</v>
      </c>
      <c r="FP40">
        <v>6</v>
      </c>
      <c r="FQ40">
        <v>5</v>
      </c>
      <c r="FR40">
        <v>3</v>
      </c>
      <c r="FS40">
        <v>6</v>
      </c>
      <c r="FT40">
        <v>3</v>
      </c>
      <c r="FU40">
        <v>2</v>
      </c>
      <c r="FV40">
        <v>3</v>
      </c>
      <c r="FW40">
        <v>6</v>
      </c>
      <c r="FX40">
        <f t="shared" si="18"/>
        <v>28</v>
      </c>
      <c r="FY40">
        <v>0</v>
      </c>
      <c r="FZ40">
        <f t="shared" si="6"/>
        <v>2</v>
      </c>
      <c r="GA40">
        <v>1</v>
      </c>
    </row>
    <row r="41" spans="1:183" x14ac:dyDescent="0.2">
      <c r="A41">
        <v>40</v>
      </c>
      <c r="B41">
        <v>1</v>
      </c>
      <c r="C41">
        <v>1</v>
      </c>
      <c r="D41">
        <v>1</v>
      </c>
      <c r="E41" s="2">
        <v>19592</v>
      </c>
      <c r="F41" s="2">
        <v>44490</v>
      </c>
      <c r="G41" s="3">
        <f t="shared" si="0"/>
        <v>68.166666666666671</v>
      </c>
      <c r="H41">
        <v>59</v>
      </c>
      <c r="I41" s="3">
        <f t="shared" si="1"/>
        <v>9.1666666666666714</v>
      </c>
      <c r="J41">
        <v>0</v>
      </c>
      <c r="K41">
        <v>1</v>
      </c>
      <c r="L41">
        <v>0</v>
      </c>
      <c r="M41">
        <v>0</v>
      </c>
      <c r="N41">
        <v>3</v>
      </c>
      <c r="O41">
        <v>0</v>
      </c>
      <c r="P41">
        <v>1</v>
      </c>
      <c r="Q41">
        <v>4</v>
      </c>
      <c r="R41">
        <v>2</v>
      </c>
      <c r="S41">
        <v>1</v>
      </c>
      <c r="T41">
        <v>1</v>
      </c>
      <c r="U41">
        <v>0</v>
      </c>
      <c r="V41">
        <v>1</v>
      </c>
      <c r="W41">
        <v>1</v>
      </c>
      <c r="X41">
        <v>2</v>
      </c>
      <c r="Y41">
        <v>1</v>
      </c>
      <c r="Z41">
        <v>0</v>
      </c>
      <c r="AA41">
        <v>4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f>AJ41*ledd!$B$2+AK41*ledd!$B$3+AL41*ledd!$B$4+AM41*ledd!$B$5+AN41*ledd!$B$6+AO41*ledd!$B$7+AP41*ledd!$B$8+AQ41*ledd!$B$9+AR41*ledd!$B$10+AS41*ledd!$B$11+AT41*ledd!$B$12+AU41*ledd!$B$13+AV41*ledd!$B$14+AW41*ledd!$B$15+AX41*ledd!$B$16</f>
        <v>1016.5</v>
      </c>
      <c r="AJ41">
        <v>725</v>
      </c>
      <c r="AK41">
        <v>100</v>
      </c>
      <c r="AL41">
        <v>0</v>
      </c>
      <c r="AM41">
        <v>0</v>
      </c>
      <c r="AN41">
        <v>0</v>
      </c>
      <c r="AO41">
        <v>10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50</v>
      </c>
      <c r="AY41">
        <v>3</v>
      </c>
      <c r="AZ41" s="3">
        <v>0</v>
      </c>
      <c r="BA41" s="3">
        <v>1</v>
      </c>
      <c r="BB41" s="3">
        <v>0</v>
      </c>
      <c r="BC41" s="3">
        <v>0</v>
      </c>
      <c r="BD41" s="3">
        <v>0</v>
      </c>
      <c r="BE41" s="3">
        <v>2</v>
      </c>
      <c r="BF41" s="3">
        <v>2</v>
      </c>
      <c r="BG41" s="3">
        <v>2</v>
      </c>
      <c r="BH41" s="3">
        <v>2</v>
      </c>
      <c r="BI41" s="3">
        <v>1</v>
      </c>
      <c r="BJ41" s="3">
        <v>0</v>
      </c>
      <c r="BK41" s="3">
        <v>2</v>
      </c>
      <c r="BL41" s="3">
        <v>2</v>
      </c>
      <c r="BM41" s="3">
        <v>3</v>
      </c>
      <c r="BN41" s="3">
        <v>0</v>
      </c>
      <c r="BO41" s="3">
        <v>1</v>
      </c>
      <c r="BP41" s="3">
        <v>1</v>
      </c>
      <c r="BQ41" s="3">
        <v>0</v>
      </c>
      <c r="BR41" s="3">
        <v>1</v>
      </c>
      <c r="BS41" s="3">
        <v>0</v>
      </c>
      <c r="BT41" s="3">
        <v>1</v>
      </c>
      <c r="BU41" s="3">
        <v>1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1</v>
      </c>
      <c r="CB41" s="3">
        <v>1</v>
      </c>
      <c r="CC41" s="3">
        <v>1</v>
      </c>
      <c r="CD41" s="3">
        <v>2</v>
      </c>
      <c r="CE41" s="3">
        <v>2</v>
      </c>
      <c r="CF41" s="3">
        <v>1</v>
      </c>
      <c r="CG41" s="3">
        <v>1</v>
      </c>
      <c r="CH41" s="3">
        <v>1</v>
      </c>
      <c r="CI41" s="3">
        <v>0</v>
      </c>
      <c r="CJ41" s="3">
        <v>3</v>
      </c>
      <c r="CK41" s="3">
        <v>3</v>
      </c>
      <c r="CL41" s="3">
        <v>0</v>
      </c>
      <c r="CM41" s="3">
        <f t="shared" si="7"/>
        <v>25</v>
      </c>
      <c r="CN41" s="3">
        <f t="shared" si="8"/>
        <v>33.333333333333336</v>
      </c>
      <c r="CO41" s="3">
        <f t="shared" si="9"/>
        <v>16.666666666666668</v>
      </c>
      <c r="CP41" s="3">
        <f t="shared" si="10"/>
        <v>0</v>
      </c>
      <c r="CQ41" s="3">
        <f t="shared" si="11"/>
        <v>16.666666666666668</v>
      </c>
      <c r="CR41" s="3">
        <f t="shared" si="12"/>
        <v>37.5</v>
      </c>
      <c r="CS41">
        <f t="shared" si="13"/>
        <v>16.666666666666668</v>
      </c>
      <c r="CT41">
        <f t="shared" si="14"/>
        <v>50</v>
      </c>
      <c r="CU41">
        <f t="shared" si="15"/>
        <v>24.479166666666668</v>
      </c>
      <c r="CV41">
        <v>0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3</v>
      </c>
      <c r="DD41">
        <v>0</v>
      </c>
      <c r="DE41">
        <v>2</v>
      </c>
      <c r="DF41">
        <v>3</v>
      </c>
      <c r="DG41">
        <v>0</v>
      </c>
      <c r="DH41">
        <v>2</v>
      </c>
      <c r="DI41">
        <v>0</v>
      </c>
      <c r="DJ41">
        <v>0</v>
      </c>
      <c r="DK41">
        <f t="shared" si="2"/>
        <v>11</v>
      </c>
      <c r="DL41">
        <v>0</v>
      </c>
      <c r="DM41">
        <v>2</v>
      </c>
      <c r="DN41">
        <v>0</v>
      </c>
      <c r="DO41">
        <v>0</v>
      </c>
      <c r="DP41">
        <v>2</v>
      </c>
      <c r="DQ41">
        <v>0</v>
      </c>
      <c r="DR41">
        <v>2</v>
      </c>
      <c r="DS41">
        <v>2</v>
      </c>
      <c r="DT41">
        <v>0</v>
      </c>
      <c r="DU41">
        <v>0</v>
      </c>
      <c r="DV41">
        <v>0</v>
      </c>
      <c r="DW41">
        <v>0</v>
      </c>
      <c r="DX41">
        <v>3</v>
      </c>
      <c r="DY41">
        <f t="shared" si="16"/>
        <v>11</v>
      </c>
      <c r="DZ41">
        <v>0</v>
      </c>
      <c r="EA41">
        <v>2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1</v>
      </c>
      <c r="EK41">
        <v>0</v>
      </c>
      <c r="EL41">
        <v>1</v>
      </c>
      <c r="EM41">
        <v>1</v>
      </c>
      <c r="EN41">
        <v>2</v>
      </c>
      <c r="EO41">
        <v>1</v>
      </c>
      <c r="EP41">
        <v>1</v>
      </c>
      <c r="EQ41">
        <v>0</v>
      </c>
      <c r="ER41">
        <v>1</v>
      </c>
      <c r="ES41">
        <v>1</v>
      </c>
      <c r="ET41">
        <v>0</v>
      </c>
      <c r="EU41">
        <v>2</v>
      </c>
      <c r="EV41">
        <v>1</v>
      </c>
      <c r="EW41">
        <v>0</v>
      </c>
      <c r="EX41">
        <v>1</v>
      </c>
      <c r="EY41">
        <v>0</v>
      </c>
      <c r="EZ41">
        <v>1</v>
      </c>
      <c r="FA41">
        <v>0</v>
      </c>
      <c r="FB41">
        <v>1</v>
      </c>
      <c r="FC41">
        <v>0</v>
      </c>
      <c r="FD41">
        <v>1</v>
      </c>
      <c r="FE41">
        <v>1</v>
      </c>
      <c r="FF41">
        <v>1</v>
      </c>
      <c r="FG41">
        <f t="shared" si="3"/>
        <v>20</v>
      </c>
      <c r="FH41">
        <v>0</v>
      </c>
      <c r="FI41">
        <v>0</v>
      </c>
      <c r="FJ41">
        <v>1</v>
      </c>
      <c r="FK41">
        <v>1</v>
      </c>
      <c r="FL41">
        <v>3</v>
      </c>
      <c r="FM41">
        <v>0</v>
      </c>
      <c r="FN41">
        <f t="shared" si="4"/>
        <v>5</v>
      </c>
      <c r="FO41">
        <f t="shared" si="17"/>
        <v>47</v>
      </c>
      <c r="FP41">
        <v>7</v>
      </c>
      <c r="FQ41">
        <v>4</v>
      </c>
      <c r="FR41">
        <v>3</v>
      </c>
      <c r="FS41">
        <v>6</v>
      </c>
      <c r="FT41">
        <v>3</v>
      </c>
      <c r="FU41">
        <v>2</v>
      </c>
      <c r="FV41">
        <v>4</v>
      </c>
      <c r="FW41">
        <v>6</v>
      </c>
      <c r="FX41">
        <f t="shared" si="18"/>
        <v>28</v>
      </c>
      <c r="FY41">
        <v>0</v>
      </c>
      <c r="FZ41">
        <f t="shared" si="6"/>
        <v>2</v>
      </c>
      <c r="GA41">
        <v>0</v>
      </c>
    </row>
    <row r="42" spans="1:183" x14ac:dyDescent="0.2">
      <c r="A42">
        <v>41</v>
      </c>
      <c r="B42">
        <v>1</v>
      </c>
      <c r="C42">
        <v>1</v>
      </c>
      <c r="D42">
        <v>1</v>
      </c>
      <c r="E42" s="2">
        <v>15966</v>
      </c>
      <c r="F42" s="2">
        <v>44494</v>
      </c>
      <c r="G42" s="3">
        <f t="shared" si="0"/>
        <v>78.083333333333329</v>
      </c>
      <c r="H42">
        <v>71</v>
      </c>
      <c r="I42" s="3">
        <f t="shared" si="1"/>
        <v>7.0833333333333286</v>
      </c>
      <c r="J42">
        <v>0</v>
      </c>
      <c r="K42">
        <v>1</v>
      </c>
      <c r="L42">
        <v>0</v>
      </c>
      <c r="M42">
        <v>0</v>
      </c>
      <c r="N42">
        <v>2</v>
      </c>
      <c r="O42">
        <v>1</v>
      </c>
      <c r="P42">
        <v>1</v>
      </c>
      <c r="Q42">
        <v>4</v>
      </c>
      <c r="R42">
        <v>3</v>
      </c>
      <c r="S42">
        <v>1</v>
      </c>
      <c r="T42">
        <v>0</v>
      </c>
      <c r="U42">
        <v>0</v>
      </c>
      <c r="V42">
        <v>1</v>
      </c>
      <c r="W42">
        <v>1</v>
      </c>
      <c r="X42">
        <v>0</v>
      </c>
      <c r="Y42">
        <v>0</v>
      </c>
      <c r="AA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</v>
      </c>
      <c r="AI42">
        <f>AJ42*ledd!$B$2+AK42*ledd!$B$3+AL42*ledd!$B$4+AM42*ledd!$B$5+AN42*ledd!$B$6+AO42*ledd!$B$7+AP42*ledd!$B$8+AQ42*ledd!$B$9+AR42*ledd!$B$10+AS42*ledd!$B$11+AT42*ledd!$B$12+AU42*ledd!$B$13+AV42*ledd!$B$14+AW42*ledd!$B$15+AX42*ledd!$B$16</f>
        <v>400</v>
      </c>
      <c r="AJ42">
        <v>300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3</v>
      </c>
      <c r="AZ42" s="3">
        <v>1</v>
      </c>
      <c r="BA42" s="3">
        <v>0</v>
      </c>
      <c r="BB42" s="3">
        <v>3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2</v>
      </c>
      <c r="BJ42" s="3">
        <v>2</v>
      </c>
      <c r="BK42" s="3">
        <v>2</v>
      </c>
      <c r="BL42" s="3">
        <v>2</v>
      </c>
      <c r="BM42" s="3">
        <v>2</v>
      </c>
      <c r="BN42" s="3">
        <v>0</v>
      </c>
      <c r="BO42" s="3">
        <v>0</v>
      </c>
      <c r="BP42" s="3">
        <v>1</v>
      </c>
      <c r="BQ42" s="3">
        <v>1</v>
      </c>
      <c r="BR42" s="3">
        <v>2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1</v>
      </c>
      <c r="CC42" s="3">
        <v>2</v>
      </c>
      <c r="CD42" s="3">
        <v>2</v>
      </c>
      <c r="CE42" s="3">
        <v>2</v>
      </c>
      <c r="CF42" s="3">
        <v>1</v>
      </c>
      <c r="CG42" s="3">
        <v>1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f t="shared" si="7"/>
        <v>15</v>
      </c>
      <c r="CN42" s="3">
        <f t="shared" si="8"/>
        <v>33.333333333333336</v>
      </c>
      <c r="CO42" s="3">
        <f t="shared" si="9"/>
        <v>16.666666666666668</v>
      </c>
      <c r="CP42" s="3">
        <f t="shared" si="10"/>
        <v>0</v>
      </c>
      <c r="CQ42" s="3">
        <f t="shared" si="11"/>
        <v>8.3333333333333339</v>
      </c>
      <c r="CR42" s="3">
        <f t="shared" si="12"/>
        <v>43.75</v>
      </c>
      <c r="CS42">
        <f t="shared" si="13"/>
        <v>8.3333333333333339</v>
      </c>
      <c r="CT42">
        <f t="shared" si="14"/>
        <v>0</v>
      </c>
      <c r="CU42">
        <f t="shared" si="15"/>
        <v>15.677083333333332</v>
      </c>
      <c r="CV42">
        <v>0</v>
      </c>
      <c r="CW42">
        <v>1</v>
      </c>
      <c r="CX42">
        <v>1</v>
      </c>
      <c r="CY42">
        <v>0</v>
      </c>
      <c r="CZ42">
        <v>2</v>
      </c>
      <c r="DA42">
        <v>0</v>
      </c>
      <c r="DB42">
        <v>0</v>
      </c>
      <c r="DC42">
        <v>0</v>
      </c>
      <c r="DD42">
        <v>2</v>
      </c>
      <c r="DE42">
        <v>0</v>
      </c>
      <c r="DF42">
        <v>1</v>
      </c>
      <c r="DG42">
        <v>1</v>
      </c>
      <c r="DH42">
        <v>0</v>
      </c>
      <c r="DI42">
        <v>1</v>
      </c>
      <c r="DJ42">
        <v>0</v>
      </c>
      <c r="DK42">
        <f t="shared" si="2"/>
        <v>9</v>
      </c>
      <c r="DL42">
        <v>1</v>
      </c>
      <c r="DM42">
        <v>0</v>
      </c>
      <c r="DN42">
        <v>1</v>
      </c>
      <c r="DO42">
        <v>0</v>
      </c>
      <c r="DP42">
        <v>1</v>
      </c>
      <c r="DQ42">
        <v>1</v>
      </c>
      <c r="DR42">
        <v>2</v>
      </c>
      <c r="DS42">
        <v>0</v>
      </c>
      <c r="DT42">
        <v>0</v>
      </c>
      <c r="DU42">
        <v>1</v>
      </c>
      <c r="DV42">
        <v>2</v>
      </c>
      <c r="DW42">
        <v>2</v>
      </c>
      <c r="DX42">
        <v>4</v>
      </c>
      <c r="DY42">
        <f t="shared" si="16"/>
        <v>15</v>
      </c>
      <c r="DZ42">
        <v>1</v>
      </c>
      <c r="EA42">
        <v>2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2</v>
      </c>
      <c r="EP42">
        <v>1</v>
      </c>
      <c r="EQ42">
        <v>3</v>
      </c>
      <c r="ER42">
        <v>2</v>
      </c>
      <c r="ES42">
        <v>3</v>
      </c>
      <c r="ET42">
        <v>1</v>
      </c>
      <c r="EU42">
        <v>2</v>
      </c>
      <c r="EV42">
        <v>2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0</v>
      </c>
      <c r="FD42">
        <v>0</v>
      </c>
      <c r="FE42">
        <v>0</v>
      </c>
      <c r="FF42">
        <v>1</v>
      </c>
      <c r="FG42">
        <f t="shared" ref="FG42:FG44" si="20">SUM(DZ42:FF42)</f>
        <v>26</v>
      </c>
      <c r="FH42">
        <v>0</v>
      </c>
      <c r="FI42">
        <v>0</v>
      </c>
      <c r="FJ42">
        <v>2</v>
      </c>
      <c r="FK42">
        <v>2</v>
      </c>
      <c r="FL42">
        <v>2</v>
      </c>
      <c r="FM42">
        <v>0</v>
      </c>
      <c r="FN42">
        <f t="shared" si="4"/>
        <v>6</v>
      </c>
      <c r="FO42">
        <f t="shared" si="17"/>
        <v>56</v>
      </c>
      <c r="FP42">
        <v>8</v>
      </c>
      <c r="FQ42">
        <v>3</v>
      </c>
      <c r="FR42">
        <v>3</v>
      </c>
      <c r="FS42">
        <v>6</v>
      </c>
      <c r="FT42">
        <v>2</v>
      </c>
      <c r="FU42">
        <v>2</v>
      </c>
      <c r="FV42">
        <v>1</v>
      </c>
      <c r="FW42">
        <v>6</v>
      </c>
      <c r="FX42">
        <f t="shared" si="18"/>
        <v>23</v>
      </c>
      <c r="FY42">
        <v>2</v>
      </c>
      <c r="FZ42">
        <f t="shared" si="6"/>
        <v>5</v>
      </c>
      <c r="GA42">
        <v>0</v>
      </c>
    </row>
    <row r="43" spans="1:183" x14ac:dyDescent="0.2">
      <c r="A43">
        <v>42</v>
      </c>
      <c r="B43">
        <v>1</v>
      </c>
      <c r="C43">
        <v>1</v>
      </c>
      <c r="D43">
        <v>1</v>
      </c>
      <c r="E43" s="2">
        <v>21028</v>
      </c>
      <c r="F43" s="2">
        <v>44509</v>
      </c>
      <c r="G43" s="3">
        <f t="shared" si="0"/>
        <v>64.25</v>
      </c>
      <c r="H43">
        <v>52</v>
      </c>
      <c r="I43" s="3">
        <f t="shared" si="1"/>
        <v>12.25</v>
      </c>
      <c r="J43">
        <v>0</v>
      </c>
      <c r="K43">
        <v>1</v>
      </c>
      <c r="L43">
        <v>8</v>
      </c>
      <c r="M43">
        <v>0</v>
      </c>
      <c r="N43">
        <v>4</v>
      </c>
      <c r="O43">
        <v>1</v>
      </c>
      <c r="P43">
        <v>1</v>
      </c>
      <c r="Q43">
        <v>4</v>
      </c>
      <c r="R43">
        <v>3</v>
      </c>
      <c r="S43">
        <v>0</v>
      </c>
      <c r="T43">
        <v>0</v>
      </c>
      <c r="U43">
        <v>0</v>
      </c>
      <c r="V43">
        <v>1</v>
      </c>
      <c r="W43">
        <v>1</v>
      </c>
      <c r="X43">
        <v>0</v>
      </c>
      <c r="Y43">
        <v>0</v>
      </c>
      <c r="AA43">
        <v>0</v>
      </c>
      <c r="AC43">
        <v>1</v>
      </c>
      <c r="AD43">
        <v>4</v>
      </c>
      <c r="AE43">
        <v>0</v>
      </c>
      <c r="AF43">
        <v>0</v>
      </c>
      <c r="AG43">
        <v>0</v>
      </c>
      <c r="AH43">
        <v>0</v>
      </c>
      <c r="AI43">
        <f>AJ43*ledd!$B$2+AK43*ledd!$B$3+AL43*ledd!$B$4+AM43*ledd!$B$5+AN43*ledd!$B$6+AO43*ledd!$B$7+AP43*ledd!$B$8+AQ43*ledd!$B$9+AR43*ledd!$B$10+AS43*ledd!$B$11+AT43*ledd!$B$12+AU43*ledd!$B$13+AV43*ledd!$B$14+AW43*ledd!$B$15+AX43*ledd!$B$16</f>
        <v>416</v>
      </c>
      <c r="AJ43">
        <v>200</v>
      </c>
      <c r="AK43">
        <v>200</v>
      </c>
      <c r="AL43">
        <v>200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4</v>
      </c>
      <c r="AZ43" s="3">
        <v>2</v>
      </c>
      <c r="BA43" s="3">
        <v>2</v>
      </c>
      <c r="BB43" s="3">
        <v>0</v>
      </c>
      <c r="BC43" s="3">
        <v>1</v>
      </c>
      <c r="BD43" s="3">
        <v>0</v>
      </c>
      <c r="BE43" s="3">
        <v>0</v>
      </c>
      <c r="BF43" s="3">
        <v>0</v>
      </c>
      <c r="BG43" s="3">
        <v>0</v>
      </c>
      <c r="BH43" s="3">
        <v>1</v>
      </c>
      <c r="BI43" s="3">
        <v>3</v>
      </c>
      <c r="BJ43" s="3">
        <v>0</v>
      </c>
      <c r="BK43" s="3">
        <v>0</v>
      </c>
      <c r="BL43" s="3">
        <v>0</v>
      </c>
      <c r="BM43" s="3">
        <v>3</v>
      </c>
      <c r="BN43" s="3">
        <v>0</v>
      </c>
      <c r="BO43" s="3">
        <v>0</v>
      </c>
      <c r="BP43" s="3">
        <v>2</v>
      </c>
      <c r="BQ43" s="3">
        <v>1</v>
      </c>
      <c r="BR43" s="3">
        <v>2</v>
      </c>
      <c r="BS43" s="3">
        <v>1</v>
      </c>
      <c r="BT43" s="3">
        <v>1</v>
      </c>
      <c r="BU43" s="3">
        <v>2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1</v>
      </c>
      <c r="CB43" s="3">
        <v>3</v>
      </c>
      <c r="CC43" s="3">
        <v>2</v>
      </c>
      <c r="CD43" s="3">
        <v>1</v>
      </c>
      <c r="CE43" s="3">
        <v>2</v>
      </c>
      <c r="CF43" s="3">
        <v>0</v>
      </c>
      <c r="CG43" s="3">
        <v>2</v>
      </c>
      <c r="CH43" s="3">
        <v>2</v>
      </c>
      <c r="CI43" s="3">
        <v>1</v>
      </c>
      <c r="CJ43" s="3">
        <v>0</v>
      </c>
      <c r="CK43" s="3">
        <v>1</v>
      </c>
      <c r="CL43" s="3">
        <v>0</v>
      </c>
      <c r="CM43" s="3">
        <f t="shared" si="7"/>
        <v>22.5</v>
      </c>
      <c r="CN43" s="3">
        <f t="shared" si="8"/>
        <v>12.5</v>
      </c>
      <c r="CO43" s="3">
        <f t="shared" si="9"/>
        <v>37.5</v>
      </c>
      <c r="CP43" s="3">
        <f t="shared" si="10"/>
        <v>0</v>
      </c>
      <c r="CQ43" s="3">
        <f t="shared" si="11"/>
        <v>33.333333333333336</v>
      </c>
      <c r="CR43" s="3">
        <f t="shared" si="12"/>
        <v>31.25</v>
      </c>
      <c r="CS43">
        <f t="shared" si="13"/>
        <v>41.666666666666664</v>
      </c>
      <c r="CT43">
        <f t="shared" si="14"/>
        <v>8.3333333333333339</v>
      </c>
      <c r="CU43">
        <f t="shared" si="15"/>
        <v>23.385416666666668</v>
      </c>
      <c r="CV43">
        <v>1</v>
      </c>
      <c r="CW43">
        <v>0</v>
      </c>
      <c r="CX43">
        <v>1</v>
      </c>
      <c r="CY43">
        <v>1</v>
      </c>
      <c r="CZ43">
        <v>0</v>
      </c>
      <c r="DA43">
        <v>0</v>
      </c>
      <c r="DB43">
        <v>0</v>
      </c>
      <c r="DC43">
        <v>1</v>
      </c>
      <c r="DD43">
        <v>0</v>
      </c>
      <c r="DE43">
        <v>1</v>
      </c>
      <c r="DF43">
        <v>1</v>
      </c>
      <c r="DG43">
        <v>1</v>
      </c>
      <c r="DH43">
        <v>0</v>
      </c>
      <c r="DI43">
        <v>0</v>
      </c>
      <c r="DJ43">
        <v>0</v>
      </c>
      <c r="DK43">
        <f t="shared" si="2"/>
        <v>7</v>
      </c>
      <c r="DL43">
        <v>2</v>
      </c>
      <c r="DM43">
        <v>1</v>
      </c>
      <c r="DN43">
        <v>0</v>
      </c>
      <c r="DO43">
        <v>0</v>
      </c>
      <c r="DP43">
        <v>0</v>
      </c>
      <c r="DQ43">
        <v>0</v>
      </c>
      <c r="DR43">
        <v>1</v>
      </c>
      <c r="DS43">
        <v>2</v>
      </c>
      <c r="DT43">
        <v>0</v>
      </c>
      <c r="DU43">
        <v>1</v>
      </c>
      <c r="DV43">
        <v>2</v>
      </c>
      <c r="DW43">
        <v>1</v>
      </c>
      <c r="DX43">
        <v>2</v>
      </c>
      <c r="DY43">
        <f t="shared" si="16"/>
        <v>12</v>
      </c>
      <c r="DZ43">
        <v>3</v>
      </c>
      <c r="EA43">
        <v>1</v>
      </c>
      <c r="EB43">
        <v>0</v>
      </c>
      <c r="EC43">
        <v>1</v>
      </c>
      <c r="ED43">
        <v>0</v>
      </c>
      <c r="EE43">
        <v>0</v>
      </c>
      <c r="EF43">
        <v>0</v>
      </c>
      <c r="EG43">
        <v>0</v>
      </c>
      <c r="EH43">
        <v>1</v>
      </c>
      <c r="EI43">
        <v>1</v>
      </c>
      <c r="EJ43">
        <v>0</v>
      </c>
      <c r="EK43">
        <v>2</v>
      </c>
      <c r="EL43">
        <v>2</v>
      </c>
      <c r="EM43">
        <v>2</v>
      </c>
      <c r="EN43">
        <v>1</v>
      </c>
      <c r="EO43">
        <v>1</v>
      </c>
      <c r="EP43">
        <v>1</v>
      </c>
      <c r="EQ43">
        <v>0</v>
      </c>
      <c r="ER43">
        <v>1</v>
      </c>
      <c r="ES43">
        <v>0</v>
      </c>
      <c r="ET43">
        <v>0</v>
      </c>
      <c r="EU43">
        <v>1</v>
      </c>
      <c r="EV43">
        <v>1</v>
      </c>
      <c r="EW43">
        <v>1</v>
      </c>
      <c r="EX43">
        <v>1</v>
      </c>
      <c r="EY43">
        <v>0</v>
      </c>
      <c r="EZ43">
        <v>0</v>
      </c>
      <c r="FA43">
        <v>1</v>
      </c>
      <c r="FB43">
        <v>1</v>
      </c>
      <c r="FC43">
        <v>0</v>
      </c>
      <c r="FD43">
        <v>0</v>
      </c>
      <c r="FE43">
        <v>0</v>
      </c>
      <c r="FF43">
        <v>1</v>
      </c>
      <c r="FG43">
        <f t="shared" si="20"/>
        <v>24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f t="shared" si="4"/>
        <v>0</v>
      </c>
      <c r="FO43">
        <f t="shared" si="17"/>
        <v>43</v>
      </c>
      <c r="FP43">
        <v>8</v>
      </c>
      <c r="FQ43">
        <v>5</v>
      </c>
      <c r="FR43">
        <v>3</v>
      </c>
      <c r="FS43">
        <v>6</v>
      </c>
      <c r="FT43">
        <v>3</v>
      </c>
      <c r="FU43">
        <v>2</v>
      </c>
      <c r="FV43">
        <v>0</v>
      </c>
      <c r="FW43">
        <v>6</v>
      </c>
      <c r="FX43">
        <f t="shared" si="18"/>
        <v>25</v>
      </c>
      <c r="FY43">
        <v>1</v>
      </c>
      <c r="FZ43">
        <f t="shared" si="6"/>
        <v>3</v>
      </c>
      <c r="GA43">
        <v>1</v>
      </c>
    </row>
    <row r="44" spans="1:183" x14ac:dyDescent="0.2">
      <c r="A44">
        <v>43</v>
      </c>
      <c r="B44">
        <v>1</v>
      </c>
      <c r="C44">
        <v>1</v>
      </c>
      <c r="D44">
        <v>1</v>
      </c>
      <c r="E44" s="2">
        <v>20110</v>
      </c>
      <c r="F44" s="2">
        <v>44503</v>
      </c>
      <c r="G44" s="3">
        <f t="shared" si="0"/>
        <v>66.75</v>
      </c>
      <c r="H44">
        <v>50</v>
      </c>
      <c r="I44" s="3">
        <f t="shared" si="1"/>
        <v>16.75</v>
      </c>
      <c r="J44">
        <v>0</v>
      </c>
      <c r="K44">
        <v>1</v>
      </c>
      <c r="L44">
        <v>1</v>
      </c>
      <c r="M44">
        <v>0</v>
      </c>
      <c r="N44">
        <v>3</v>
      </c>
      <c r="O44">
        <v>1</v>
      </c>
      <c r="P44">
        <v>3</v>
      </c>
      <c r="Q44">
        <v>2</v>
      </c>
      <c r="R44">
        <v>1</v>
      </c>
      <c r="S44">
        <v>1</v>
      </c>
      <c r="T44">
        <v>1</v>
      </c>
      <c r="U44">
        <v>0</v>
      </c>
      <c r="V44">
        <v>1</v>
      </c>
      <c r="W44">
        <v>1</v>
      </c>
      <c r="X44">
        <v>2</v>
      </c>
      <c r="Y44">
        <v>2</v>
      </c>
      <c r="Z44">
        <v>1</v>
      </c>
      <c r="AA44">
        <v>1</v>
      </c>
      <c r="AB44">
        <v>1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f>AJ44*ledd!$B$2+AK44*ledd!$B$3+AL44*ledd!$B$4+AM44*ledd!$B$5+AN44*ledd!$B$6+AO44*ledd!$B$7+AP44*ledd!$B$8+AQ44*ledd!$B$9+AR44*ledd!$B$10+AS44*ledd!$B$11+AT44*ledd!$B$12+AU44*ledd!$B$13+AV44*ledd!$B$14+AW44*ledd!$B$15+AX44*ledd!$B$16</f>
        <v>2250</v>
      </c>
      <c r="AJ44">
        <v>1750</v>
      </c>
      <c r="AK44">
        <v>200</v>
      </c>
      <c r="AL44">
        <v>0</v>
      </c>
      <c r="AM44">
        <v>400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150</v>
      </c>
      <c r="AW44">
        <v>0</v>
      </c>
      <c r="AX44">
        <v>0</v>
      </c>
      <c r="AY44">
        <v>3</v>
      </c>
      <c r="AZ44" s="3">
        <v>3</v>
      </c>
      <c r="BA44" s="3">
        <v>3</v>
      </c>
      <c r="BB44" s="3">
        <v>4</v>
      </c>
      <c r="BC44" s="3">
        <v>4</v>
      </c>
      <c r="BD44" s="3">
        <v>3</v>
      </c>
      <c r="BE44" s="3">
        <v>4</v>
      </c>
      <c r="BF44" s="3">
        <v>1</v>
      </c>
      <c r="BG44" s="3">
        <v>3</v>
      </c>
      <c r="BH44" s="3">
        <v>2</v>
      </c>
      <c r="BI44" s="3">
        <v>3</v>
      </c>
      <c r="BJ44" s="3">
        <v>3</v>
      </c>
      <c r="BK44" s="3">
        <v>4</v>
      </c>
      <c r="BL44" s="3">
        <v>4</v>
      </c>
      <c r="BM44" s="3">
        <v>4</v>
      </c>
      <c r="BN44" s="3">
        <v>2</v>
      </c>
      <c r="BO44" s="3">
        <v>2</v>
      </c>
      <c r="BP44" s="3">
        <v>3</v>
      </c>
      <c r="BQ44" s="3">
        <v>3</v>
      </c>
      <c r="BR44" s="3">
        <v>2</v>
      </c>
      <c r="BS44" s="3">
        <v>2</v>
      </c>
      <c r="BT44" s="3">
        <v>2</v>
      </c>
      <c r="BU44" s="3">
        <v>3</v>
      </c>
      <c r="BV44" s="3">
        <v>0</v>
      </c>
      <c r="BW44" s="3">
        <v>0</v>
      </c>
      <c r="BX44" s="3">
        <v>2</v>
      </c>
      <c r="BY44" s="3">
        <v>0</v>
      </c>
      <c r="BZ44" s="3">
        <v>2</v>
      </c>
      <c r="CA44" s="3">
        <v>0</v>
      </c>
      <c r="CB44" s="3">
        <v>2</v>
      </c>
      <c r="CC44" s="3">
        <v>3</v>
      </c>
      <c r="CD44" s="3">
        <v>3</v>
      </c>
      <c r="CE44" s="3">
        <v>3</v>
      </c>
      <c r="CF44" s="3">
        <v>3</v>
      </c>
      <c r="CG44" s="3">
        <v>2</v>
      </c>
      <c r="CH44" s="3">
        <v>2</v>
      </c>
      <c r="CI44" s="3">
        <v>1</v>
      </c>
      <c r="CJ44" s="3">
        <v>1</v>
      </c>
      <c r="CK44" s="3">
        <v>4</v>
      </c>
      <c r="CL44" s="3">
        <v>1</v>
      </c>
      <c r="CM44" s="3">
        <f t="shared" si="7"/>
        <v>75</v>
      </c>
      <c r="CN44" s="3">
        <f t="shared" si="8"/>
        <v>79.166666666666671</v>
      </c>
      <c r="CO44" s="3">
        <f t="shared" si="9"/>
        <v>62.5</v>
      </c>
      <c r="CP44" s="3">
        <f t="shared" si="10"/>
        <v>12.5</v>
      </c>
      <c r="CQ44" s="3">
        <f t="shared" si="11"/>
        <v>33.333333333333336</v>
      </c>
      <c r="CR44" s="3">
        <f t="shared" si="12"/>
        <v>75</v>
      </c>
      <c r="CS44">
        <f t="shared" si="13"/>
        <v>41.666666666666664</v>
      </c>
      <c r="CT44">
        <f t="shared" si="14"/>
        <v>50</v>
      </c>
      <c r="CU44">
        <f t="shared" si="15"/>
        <v>53.645833333333336</v>
      </c>
      <c r="CV44">
        <v>3</v>
      </c>
      <c r="CW44">
        <v>2</v>
      </c>
      <c r="CX44">
        <v>1</v>
      </c>
      <c r="CY44">
        <v>2</v>
      </c>
      <c r="CZ44">
        <v>0</v>
      </c>
      <c r="DA44">
        <v>0</v>
      </c>
      <c r="DB44">
        <v>0</v>
      </c>
      <c r="DC44">
        <v>0</v>
      </c>
      <c r="DD44">
        <v>3</v>
      </c>
      <c r="DE44">
        <v>3</v>
      </c>
      <c r="DF44">
        <v>2</v>
      </c>
      <c r="DG44">
        <v>2</v>
      </c>
      <c r="DH44">
        <v>0</v>
      </c>
      <c r="DI44">
        <v>1</v>
      </c>
      <c r="DJ44">
        <v>0</v>
      </c>
      <c r="DK44">
        <f t="shared" si="2"/>
        <v>19</v>
      </c>
      <c r="DL44">
        <v>1</v>
      </c>
      <c r="DM44">
        <v>3</v>
      </c>
      <c r="DN44">
        <v>2</v>
      </c>
      <c r="DO44">
        <v>0</v>
      </c>
      <c r="DP44">
        <v>4</v>
      </c>
      <c r="DQ44">
        <v>4</v>
      </c>
      <c r="DR44">
        <v>3</v>
      </c>
      <c r="DS44">
        <v>2</v>
      </c>
      <c r="DT44">
        <v>4</v>
      </c>
      <c r="DU44">
        <v>0</v>
      </c>
      <c r="DV44">
        <v>3</v>
      </c>
      <c r="DW44">
        <v>3</v>
      </c>
      <c r="DX44">
        <v>3</v>
      </c>
      <c r="DY44">
        <f t="shared" si="16"/>
        <v>32</v>
      </c>
      <c r="DZ44">
        <v>0</v>
      </c>
      <c r="EA44">
        <v>3</v>
      </c>
      <c r="EB44">
        <v>0</v>
      </c>
      <c r="EC44">
        <v>0</v>
      </c>
      <c r="ED44">
        <v>3</v>
      </c>
      <c r="EE44">
        <v>0</v>
      </c>
      <c r="EF44">
        <v>0</v>
      </c>
      <c r="EG44">
        <v>0</v>
      </c>
      <c r="EH44">
        <v>1</v>
      </c>
      <c r="EI44">
        <v>0</v>
      </c>
      <c r="EJ44">
        <v>1</v>
      </c>
      <c r="EK44">
        <v>1</v>
      </c>
      <c r="EL44">
        <v>2</v>
      </c>
      <c r="EM44">
        <v>2</v>
      </c>
      <c r="EN44">
        <v>3</v>
      </c>
      <c r="EO44">
        <v>2</v>
      </c>
      <c r="EP44">
        <v>3</v>
      </c>
      <c r="EQ44">
        <v>4</v>
      </c>
      <c r="ER44">
        <v>3</v>
      </c>
      <c r="ES44">
        <v>2</v>
      </c>
      <c r="ET44">
        <v>4</v>
      </c>
      <c r="EU44">
        <v>4</v>
      </c>
      <c r="EV44">
        <v>3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f t="shared" si="20"/>
        <v>41</v>
      </c>
      <c r="FH44">
        <v>1</v>
      </c>
      <c r="FI44">
        <v>0</v>
      </c>
      <c r="FJ44">
        <v>2</v>
      </c>
      <c r="FK44">
        <v>4</v>
      </c>
      <c r="FL44">
        <v>2</v>
      </c>
      <c r="FM44">
        <v>3</v>
      </c>
      <c r="FN44">
        <f t="shared" si="4"/>
        <v>12</v>
      </c>
      <c r="FO44">
        <f t="shared" si="17"/>
        <v>104</v>
      </c>
      <c r="FP44">
        <v>19</v>
      </c>
      <c r="FQ44">
        <v>3</v>
      </c>
      <c r="FR44">
        <v>3</v>
      </c>
      <c r="FS44">
        <v>4</v>
      </c>
      <c r="FT44">
        <v>1</v>
      </c>
      <c r="FU44">
        <v>2</v>
      </c>
      <c r="FV44">
        <v>1</v>
      </c>
      <c r="FW44">
        <v>6</v>
      </c>
      <c r="FX44">
        <f t="shared" si="18"/>
        <v>20</v>
      </c>
      <c r="FY44">
        <v>0</v>
      </c>
      <c r="FZ44">
        <f t="shared" si="6"/>
        <v>2</v>
      </c>
      <c r="GA44">
        <v>0</v>
      </c>
    </row>
    <row r="45" spans="1:183" x14ac:dyDescent="0.2">
      <c r="A45">
        <v>44</v>
      </c>
      <c r="B45">
        <v>1</v>
      </c>
      <c r="C45">
        <v>1</v>
      </c>
      <c r="D45">
        <v>1</v>
      </c>
      <c r="E45" s="2">
        <v>19901</v>
      </c>
      <c r="F45" s="2">
        <v>44509</v>
      </c>
      <c r="G45" s="3">
        <f t="shared" si="0"/>
        <v>67.333333333333329</v>
      </c>
      <c r="H45">
        <v>51</v>
      </c>
      <c r="I45" s="3">
        <f t="shared" si="1"/>
        <v>16.333333333333329</v>
      </c>
      <c r="J45">
        <v>0</v>
      </c>
      <c r="K45">
        <v>1</v>
      </c>
      <c r="L45">
        <v>0</v>
      </c>
      <c r="M45">
        <v>0</v>
      </c>
      <c r="N45">
        <v>2</v>
      </c>
      <c r="O45">
        <v>1</v>
      </c>
      <c r="P45">
        <v>2</v>
      </c>
      <c r="Q45">
        <v>4</v>
      </c>
      <c r="R45">
        <v>3</v>
      </c>
      <c r="S45">
        <v>1</v>
      </c>
      <c r="T45">
        <v>1</v>
      </c>
      <c r="U45">
        <v>0</v>
      </c>
      <c r="V45">
        <v>1</v>
      </c>
      <c r="W45">
        <v>1</v>
      </c>
      <c r="X45">
        <v>0</v>
      </c>
      <c r="Y45">
        <v>0</v>
      </c>
      <c r="AA45">
        <v>0</v>
      </c>
      <c r="AC45">
        <v>6</v>
      </c>
      <c r="AD45">
        <v>0</v>
      </c>
      <c r="AE45">
        <v>0</v>
      </c>
      <c r="AF45">
        <v>0</v>
      </c>
      <c r="AG45">
        <v>0</v>
      </c>
      <c r="AH45">
        <v>0</v>
      </c>
      <c r="AI45">
        <f>AJ45*ledd!$B$2+AK45*ledd!$B$3+AL45*ledd!$B$4+AM45*ledd!$B$5+AN45*ledd!$B$6+AO45*ledd!$B$7+AP45*ledd!$B$8+AQ45*ledd!$B$9+AR45*ledd!$B$10+AS45*ledd!$B$11+AT45*ledd!$B$12+AU45*ledd!$B$13+AV45*ledd!$B$14+AW45*ledd!$B$15+AX45*ledd!$B$16</f>
        <v>1191.5</v>
      </c>
      <c r="AJ45">
        <v>675</v>
      </c>
      <c r="AK45">
        <v>0</v>
      </c>
      <c r="AL45">
        <v>0</v>
      </c>
      <c r="AM45">
        <v>0</v>
      </c>
      <c r="AN45">
        <v>0</v>
      </c>
      <c r="AO45">
        <v>20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100</v>
      </c>
      <c r="AX45">
        <v>50</v>
      </c>
      <c r="AY45">
        <v>2</v>
      </c>
      <c r="AZ45" s="3">
        <v>2</v>
      </c>
      <c r="BA45" s="3">
        <v>0</v>
      </c>
      <c r="BB45" s="3">
        <v>2</v>
      </c>
      <c r="BC45" s="3">
        <v>0</v>
      </c>
      <c r="BD45" s="3">
        <v>0</v>
      </c>
      <c r="BE45" s="3">
        <v>0</v>
      </c>
      <c r="BF45" s="3">
        <v>1</v>
      </c>
      <c r="BG45" s="3">
        <v>1</v>
      </c>
      <c r="BH45" s="3">
        <v>2</v>
      </c>
      <c r="BI45" s="3">
        <v>2</v>
      </c>
      <c r="BJ45" s="3">
        <v>0</v>
      </c>
      <c r="BK45" s="3">
        <v>0</v>
      </c>
      <c r="BL45" s="3">
        <v>0</v>
      </c>
      <c r="BM45" s="3">
        <v>3</v>
      </c>
      <c r="BN45" s="3">
        <v>0</v>
      </c>
      <c r="BO45" s="3">
        <v>0</v>
      </c>
      <c r="BP45" s="3">
        <v>1</v>
      </c>
      <c r="BQ45" s="3">
        <v>0</v>
      </c>
      <c r="BR45" s="3">
        <v>1</v>
      </c>
      <c r="BS45" s="3">
        <v>1</v>
      </c>
      <c r="BT45" s="3">
        <v>0</v>
      </c>
      <c r="BU45" s="3">
        <v>2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2</v>
      </c>
      <c r="CD45" s="3">
        <v>2</v>
      </c>
      <c r="CE45" s="3">
        <v>1</v>
      </c>
      <c r="CF45" s="3">
        <v>1</v>
      </c>
      <c r="CG45" s="3">
        <v>3</v>
      </c>
      <c r="CH45" s="3">
        <v>1</v>
      </c>
      <c r="CI45" s="3">
        <v>0</v>
      </c>
      <c r="CJ45" s="3">
        <v>3</v>
      </c>
      <c r="CK45" s="3">
        <v>0</v>
      </c>
      <c r="CL45" s="3">
        <v>0</v>
      </c>
      <c r="CM45" s="3">
        <f t="shared" si="7"/>
        <v>25</v>
      </c>
      <c r="CN45" s="3">
        <f t="shared" si="8"/>
        <v>12.5</v>
      </c>
      <c r="CO45" s="3">
        <f t="shared" si="9"/>
        <v>20.833333333333332</v>
      </c>
      <c r="CP45" s="3">
        <f t="shared" si="10"/>
        <v>0</v>
      </c>
      <c r="CQ45" s="3">
        <f t="shared" si="11"/>
        <v>0</v>
      </c>
      <c r="CR45" s="3">
        <f t="shared" si="12"/>
        <v>37.5</v>
      </c>
      <c r="CS45">
        <f t="shared" si="13"/>
        <v>33.333333333333336</v>
      </c>
      <c r="CT45">
        <f t="shared" si="14"/>
        <v>25</v>
      </c>
      <c r="CU45">
        <f t="shared" si="15"/>
        <v>19.270833333333332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1</v>
      </c>
      <c r="DD45">
        <v>1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f t="shared" si="2"/>
        <v>2</v>
      </c>
      <c r="DL45">
        <v>2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2</v>
      </c>
      <c r="DS45">
        <v>2</v>
      </c>
      <c r="DT45">
        <v>0</v>
      </c>
      <c r="DU45">
        <v>0</v>
      </c>
      <c r="DV45">
        <v>1</v>
      </c>
      <c r="DW45">
        <v>2</v>
      </c>
      <c r="DX45">
        <v>3</v>
      </c>
      <c r="DY45">
        <f t="shared" si="16"/>
        <v>12</v>
      </c>
      <c r="DZ45">
        <v>4</v>
      </c>
      <c r="EA45">
        <v>1</v>
      </c>
      <c r="EB45">
        <v>0</v>
      </c>
      <c r="EC45">
        <v>2</v>
      </c>
      <c r="ED45">
        <v>2</v>
      </c>
      <c r="EE45">
        <v>2</v>
      </c>
      <c r="EF45">
        <v>3</v>
      </c>
      <c r="EG45">
        <v>1</v>
      </c>
      <c r="EH45">
        <v>2</v>
      </c>
      <c r="EI45">
        <v>0</v>
      </c>
      <c r="EJ45">
        <v>1</v>
      </c>
      <c r="EK45">
        <v>0</v>
      </c>
      <c r="EL45">
        <v>0</v>
      </c>
      <c r="EM45">
        <v>1</v>
      </c>
      <c r="EN45">
        <v>2</v>
      </c>
      <c r="EO45">
        <v>0</v>
      </c>
      <c r="EP45">
        <v>1</v>
      </c>
      <c r="EQ45">
        <v>0</v>
      </c>
      <c r="ER45">
        <v>1</v>
      </c>
      <c r="ES45">
        <v>0</v>
      </c>
      <c r="ET45">
        <v>0</v>
      </c>
      <c r="EU45">
        <v>1</v>
      </c>
      <c r="EV45">
        <v>0</v>
      </c>
      <c r="EW45">
        <v>0</v>
      </c>
      <c r="EX45">
        <v>0</v>
      </c>
      <c r="EY45">
        <v>0</v>
      </c>
      <c r="EZ45">
        <v>1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f t="shared" si="3"/>
        <v>25</v>
      </c>
      <c r="FH45">
        <v>1</v>
      </c>
      <c r="FI45">
        <v>1</v>
      </c>
      <c r="FJ45">
        <v>2</v>
      </c>
      <c r="FK45">
        <v>1</v>
      </c>
      <c r="FL45">
        <v>4</v>
      </c>
      <c r="FM45">
        <v>0</v>
      </c>
      <c r="FN45">
        <f t="shared" si="4"/>
        <v>9</v>
      </c>
      <c r="FO45">
        <f t="shared" si="17"/>
        <v>48</v>
      </c>
      <c r="FP45">
        <v>6</v>
      </c>
      <c r="FQ45">
        <v>2</v>
      </c>
      <c r="FR45">
        <v>3</v>
      </c>
      <c r="FS45">
        <v>6</v>
      </c>
      <c r="FT45">
        <v>3</v>
      </c>
      <c r="FU45">
        <v>2</v>
      </c>
      <c r="FV45">
        <v>0</v>
      </c>
      <c r="FW45">
        <v>6</v>
      </c>
      <c r="FX45">
        <f t="shared" si="18"/>
        <v>22</v>
      </c>
      <c r="FY45">
        <v>0</v>
      </c>
      <c r="FZ45">
        <f t="shared" si="6"/>
        <v>2</v>
      </c>
      <c r="GA45">
        <v>0</v>
      </c>
    </row>
    <row r="46" spans="1:183" x14ac:dyDescent="0.2">
      <c r="A46">
        <v>45</v>
      </c>
      <c r="B46">
        <v>1</v>
      </c>
      <c r="C46">
        <v>1</v>
      </c>
      <c r="D46">
        <v>1</v>
      </c>
      <c r="E46" s="2">
        <v>21760</v>
      </c>
      <c r="F46" s="2">
        <v>44515</v>
      </c>
      <c r="G46" s="3">
        <f t="shared" si="0"/>
        <v>62.25</v>
      </c>
      <c r="H46">
        <v>53</v>
      </c>
      <c r="I46" s="3">
        <f t="shared" si="1"/>
        <v>9.25</v>
      </c>
      <c r="J46">
        <v>0</v>
      </c>
      <c r="K46">
        <v>1</v>
      </c>
      <c r="L46">
        <v>0</v>
      </c>
      <c r="M46">
        <v>0</v>
      </c>
      <c r="N46">
        <v>3</v>
      </c>
      <c r="O46">
        <v>1</v>
      </c>
      <c r="P46">
        <v>0</v>
      </c>
      <c r="Q46">
        <v>2</v>
      </c>
      <c r="R46">
        <v>1</v>
      </c>
      <c r="S46">
        <v>0</v>
      </c>
      <c r="T46">
        <v>1</v>
      </c>
      <c r="U46">
        <v>0</v>
      </c>
      <c r="V46">
        <v>1</v>
      </c>
      <c r="W46">
        <v>1</v>
      </c>
      <c r="X46">
        <v>0</v>
      </c>
      <c r="Y46">
        <v>0</v>
      </c>
      <c r="AA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f>AJ46*ledd!$B$2+AK46*ledd!$B$3+AL46*ledd!$B$4+AM46*ledd!$B$5+AN46*ledd!$B$6+AO46*ledd!$B$7+AP46*ledd!$B$8+AQ46*ledd!$B$9+AR46*ledd!$B$10+AS46*ledd!$B$11+AT46*ledd!$B$12+AU46*ledd!$B$13+AV46*ledd!$B$14+AW46*ledd!$B$15+AX46*ledd!$B$16</f>
        <v>551.5</v>
      </c>
      <c r="AJ46">
        <v>375</v>
      </c>
      <c r="AK46">
        <v>0</v>
      </c>
      <c r="AL46">
        <v>0</v>
      </c>
      <c r="AM46">
        <v>0</v>
      </c>
      <c r="AN46">
        <v>0</v>
      </c>
      <c r="AO46">
        <v>8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50</v>
      </c>
      <c r="AY46">
        <v>2</v>
      </c>
      <c r="AZ46" s="3">
        <v>2</v>
      </c>
      <c r="BA46" s="3">
        <v>2</v>
      </c>
      <c r="BB46" s="3">
        <v>1</v>
      </c>
      <c r="BC46" s="3">
        <v>2</v>
      </c>
      <c r="BD46" s="3">
        <v>1</v>
      </c>
      <c r="BE46" s="3">
        <v>1</v>
      </c>
      <c r="BF46" s="3">
        <v>1</v>
      </c>
      <c r="BG46" s="3">
        <v>1</v>
      </c>
      <c r="BH46" s="3">
        <v>0</v>
      </c>
      <c r="BI46" s="3">
        <v>2</v>
      </c>
      <c r="BJ46" s="3">
        <v>0</v>
      </c>
      <c r="BK46" s="3">
        <v>0</v>
      </c>
      <c r="BL46" s="3">
        <v>0</v>
      </c>
      <c r="BM46" s="3">
        <v>1</v>
      </c>
      <c r="BN46" s="3">
        <v>0</v>
      </c>
      <c r="BO46" s="3">
        <v>1</v>
      </c>
      <c r="BP46" s="3">
        <v>2</v>
      </c>
      <c r="BQ46" s="3">
        <v>1</v>
      </c>
      <c r="BR46" s="3">
        <v>1</v>
      </c>
      <c r="BS46" s="3">
        <v>1</v>
      </c>
      <c r="BT46" s="3">
        <v>0</v>
      </c>
      <c r="BU46" s="3">
        <v>2</v>
      </c>
      <c r="BV46" s="3">
        <v>0</v>
      </c>
      <c r="BW46" s="3">
        <v>0</v>
      </c>
      <c r="BX46" s="3">
        <v>0</v>
      </c>
      <c r="BY46" s="3">
        <v>0</v>
      </c>
      <c r="BZ46" s="3">
        <v>2</v>
      </c>
      <c r="CA46" s="3">
        <v>0</v>
      </c>
      <c r="CB46" s="3">
        <v>0</v>
      </c>
      <c r="CC46" s="3">
        <v>0</v>
      </c>
      <c r="CD46" s="3">
        <v>2</v>
      </c>
      <c r="CE46" s="3">
        <v>2</v>
      </c>
      <c r="CF46" s="3">
        <v>2</v>
      </c>
      <c r="CG46" s="3">
        <v>1</v>
      </c>
      <c r="CH46" s="3">
        <v>2</v>
      </c>
      <c r="CI46" s="3">
        <v>2</v>
      </c>
      <c r="CJ46" s="3">
        <v>2</v>
      </c>
      <c r="CK46" s="3">
        <v>2</v>
      </c>
      <c r="CL46" s="3">
        <v>2</v>
      </c>
      <c r="CM46" s="3">
        <f t="shared" si="7"/>
        <v>32.5</v>
      </c>
      <c r="CN46" s="3">
        <f t="shared" si="8"/>
        <v>8.3333333333333339</v>
      </c>
      <c r="CO46" s="3">
        <f t="shared" si="9"/>
        <v>29.166666666666668</v>
      </c>
      <c r="CP46" s="3">
        <f t="shared" si="10"/>
        <v>0</v>
      </c>
      <c r="CQ46" s="3">
        <f t="shared" si="11"/>
        <v>16.666666666666668</v>
      </c>
      <c r="CR46" s="3">
        <f t="shared" si="12"/>
        <v>37.5</v>
      </c>
      <c r="CS46">
        <f t="shared" si="13"/>
        <v>41.666666666666664</v>
      </c>
      <c r="CT46">
        <f t="shared" si="14"/>
        <v>50</v>
      </c>
      <c r="CU46">
        <f t="shared" si="15"/>
        <v>26.979166666666668</v>
      </c>
      <c r="CV46">
        <v>1</v>
      </c>
      <c r="CW46">
        <v>2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2</v>
      </c>
      <c r="DF46">
        <v>1</v>
      </c>
      <c r="DG46">
        <v>2</v>
      </c>
      <c r="DH46">
        <v>1</v>
      </c>
      <c r="DI46">
        <v>2</v>
      </c>
      <c r="DJ46">
        <v>0</v>
      </c>
      <c r="DK46">
        <f t="shared" si="2"/>
        <v>11</v>
      </c>
      <c r="DL46">
        <v>0</v>
      </c>
      <c r="DM46">
        <v>0</v>
      </c>
      <c r="DN46">
        <v>0</v>
      </c>
      <c r="DO46">
        <v>1</v>
      </c>
      <c r="DP46">
        <v>1</v>
      </c>
      <c r="DQ46">
        <v>1</v>
      </c>
      <c r="DR46">
        <v>2</v>
      </c>
      <c r="DS46">
        <v>0</v>
      </c>
      <c r="DT46">
        <v>1</v>
      </c>
      <c r="DU46">
        <v>2</v>
      </c>
      <c r="DV46">
        <v>0</v>
      </c>
      <c r="DW46">
        <v>2</v>
      </c>
      <c r="DX46">
        <v>2</v>
      </c>
      <c r="DY46">
        <f t="shared" si="16"/>
        <v>12</v>
      </c>
      <c r="DZ46">
        <v>1</v>
      </c>
      <c r="EA46">
        <v>2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1</v>
      </c>
      <c r="EK46">
        <v>2</v>
      </c>
      <c r="EL46">
        <v>1</v>
      </c>
      <c r="EM46">
        <v>2</v>
      </c>
      <c r="EN46">
        <v>2</v>
      </c>
      <c r="EO46">
        <v>1</v>
      </c>
      <c r="EP46">
        <v>1</v>
      </c>
      <c r="EQ46">
        <v>0</v>
      </c>
      <c r="ER46">
        <v>1</v>
      </c>
      <c r="ES46">
        <v>1</v>
      </c>
      <c r="ET46">
        <v>0</v>
      </c>
      <c r="EU46">
        <v>0</v>
      </c>
      <c r="EV46">
        <v>1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f t="shared" si="3"/>
        <v>16</v>
      </c>
      <c r="FH46">
        <v>2</v>
      </c>
      <c r="FI46">
        <v>2</v>
      </c>
      <c r="FJ46">
        <v>0</v>
      </c>
      <c r="FK46">
        <v>0</v>
      </c>
      <c r="FL46">
        <v>0</v>
      </c>
      <c r="FM46">
        <v>0</v>
      </c>
      <c r="FN46">
        <f t="shared" si="4"/>
        <v>4</v>
      </c>
      <c r="FO46">
        <f t="shared" si="17"/>
        <v>43</v>
      </c>
      <c r="FP46">
        <v>8</v>
      </c>
      <c r="FQ46">
        <v>4</v>
      </c>
      <c r="FR46">
        <v>3</v>
      </c>
      <c r="FS46">
        <v>6</v>
      </c>
      <c r="FT46">
        <v>3</v>
      </c>
      <c r="FU46">
        <v>1</v>
      </c>
      <c r="FV46">
        <v>3</v>
      </c>
      <c r="FW46">
        <v>6</v>
      </c>
      <c r="FX46">
        <f t="shared" si="18"/>
        <v>26</v>
      </c>
      <c r="FY46">
        <v>0</v>
      </c>
      <c r="FZ46">
        <f t="shared" si="6"/>
        <v>2</v>
      </c>
      <c r="GA46">
        <v>1</v>
      </c>
    </row>
    <row r="47" spans="1:183" x14ac:dyDescent="0.2">
      <c r="A47">
        <v>46</v>
      </c>
      <c r="B47">
        <v>1</v>
      </c>
      <c r="C47">
        <v>1</v>
      </c>
      <c r="D47">
        <v>0</v>
      </c>
      <c r="E47" s="2">
        <v>17446</v>
      </c>
      <c r="F47" s="2">
        <v>44515</v>
      </c>
      <c r="G47" s="3">
        <f t="shared" si="0"/>
        <v>74.083333333333329</v>
      </c>
      <c r="H47">
        <v>72</v>
      </c>
      <c r="I47" s="3">
        <f t="shared" si="1"/>
        <v>2.0833333333333286</v>
      </c>
      <c r="J47">
        <v>6</v>
      </c>
      <c r="K47">
        <v>5</v>
      </c>
      <c r="L47">
        <v>8</v>
      </c>
      <c r="M47">
        <v>0</v>
      </c>
      <c r="N47">
        <v>1</v>
      </c>
      <c r="O47">
        <v>0</v>
      </c>
      <c r="P47">
        <v>1</v>
      </c>
      <c r="Q47">
        <v>2</v>
      </c>
      <c r="R47">
        <v>1</v>
      </c>
      <c r="S47">
        <v>0</v>
      </c>
      <c r="T47">
        <v>0</v>
      </c>
      <c r="U47">
        <v>0</v>
      </c>
      <c r="V47">
        <v>1</v>
      </c>
      <c r="W47">
        <v>1</v>
      </c>
      <c r="X47">
        <v>2</v>
      </c>
      <c r="Y47">
        <v>2</v>
      </c>
      <c r="Z47">
        <v>1</v>
      </c>
      <c r="AA47">
        <v>2</v>
      </c>
      <c r="AB47">
        <v>1</v>
      </c>
      <c r="AC47">
        <v>1</v>
      </c>
      <c r="AD47">
        <v>1</v>
      </c>
      <c r="AE47">
        <v>1</v>
      </c>
      <c r="AF47">
        <v>0</v>
      </c>
      <c r="AG47">
        <v>0</v>
      </c>
      <c r="AH47">
        <v>0</v>
      </c>
      <c r="AI47">
        <f>AJ47*ledd!$B$2+AK47*ledd!$B$3+AL47*ledd!$B$4+AM47*ledd!$B$5+AN47*ledd!$B$6+AO47*ledd!$B$7+AP47*ledd!$B$8+AQ47*ledd!$B$9+AR47*ledd!$B$10+AS47*ledd!$B$11+AT47*ledd!$B$12+AU47*ledd!$B$13+AV47*ledd!$B$14+AW47*ledd!$B$15+AX47*ledd!$B$16</f>
        <v>540</v>
      </c>
      <c r="AJ47">
        <v>300</v>
      </c>
      <c r="AK47">
        <v>0</v>
      </c>
      <c r="AL47">
        <v>0</v>
      </c>
      <c r="AM47">
        <v>0</v>
      </c>
      <c r="AN47">
        <v>0</v>
      </c>
      <c r="AO47">
        <v>12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2</v>
      </c>
      <c r="AZ47" s="3">
        <v>0</v>
      </c>
      <c r="BA47" s="3">
        <v>0</v>
      </c>
      <c r="BB47" s="3">
        <v>0</v>
      </c>
      <c r="BC47" s="3">
        <v>4</v>
      </c>
      <c r="BD47" s="3">
        <v>2</v>
      </c>
      <c r="BE47" s="3">
        <v>3</v>
      </c>
      <c r="BF47" s="3">
        <v>2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1</v>
      </c>
      <c r="CF47" s="3">
        <v>0</v>
      </c>
      <c r="CG47" s="3">
        <v>0</v>
      </c>
      <c r="CH47" s="3">
        <v>0</v>
      </c>
      <c r="CI47" s="3">
        <v>0</v>
      </c>
      <c r="CJ47" s="3">
        <v>1</v>
      </c>
      <c r="CK47" s="3">
        <v>0</v>
      </c>
      <c r="CL47" s="3">
        <v>0</v>
      </c>
      <c r="CM47" s="3">
        <f t="shared" si="7"/>
        <v>27.5</v>
      </c>
      <c r="CN47" s="3">
        <f t="shared" si="8"/>
        <v>0</v>
      </c>
      <c r="CO47" s="3">
        <f t="shared" si="9"/>
        <v>0</v>
      </c>
      <c r="CP47" s="3">
        <f t="shared" si="10"/>
        <v>0</v>
      </c>
      <c r="CQ47" s="3">
        <f t="shared" si="11"/>
        <v>0</v>
      </c>
      <c r="CR47" s="3">
        <f t="shared" si="12"/>
        <v>6.25</v>
      </c>
      <c r="CS47">
        <f t="shared" si="13"/>
        <v>0</v>
      </c>
      <c r="CT47">
        <f t="shared" si="14"/>
        <v>8.3333333333333339</v>
      </c>
      <c r="CU47">
        <f t="shared" si="15"/>
        <v>5.260416666666667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1</v>
      </c>
      <c r="DE47">
        <v>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f t="shared" si="2"/>
        <v>2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1</v>
      </c>
      <c r="DS47">
        <v>0</v>
      </c>
      <c r="DT47">
        <v>0</v>
      </c>
      <c r="DU47">
        <v>0</v>
      </c>
      <c r="DV47">
        <v>1</v>
      </c>
      <c r="DW47">
        <v>0</v>
      </c>
      <c r="DX47">
        <v>2</v>
      </c>
      <c r="DY47">
        <f t="shared" si="16"/>
        <v>4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f t="shared" si="3"/>
        <v>5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f t="shared" si="4"/>
        <v>0</v>
      </c>
      <c r="FO47">
        <f t="shared" si="17"/>
        <v>11</v>
      </c>
      <c r="FP47">
        <v>6</v>
      </c>
      <c r="FQ47">
        <v>1</v>
      </c>
      <c r="FR47">
        <v>3</v>
      </c>
      <c r="FS47">
        <v>5</v>
      </c>
      <c r="FT47">
        <v>2</v>
      </c>
      <c r="FU47">
        <v>1</v>
      </c>
      <c r="FV47">
        <v>1</v>
      </c>
      <c r="FW47">
        <v>5</v>
      </c>
      <c r="FX47">
        <f t="shared" si="18"/>
        <v>18</v>
      </c>
      <c r="FY47">
        <v>1</v>
      </c>
      <c r="FZ47">
        <f t="shared" si="6"/>
        <v>4</v>
      </c>
      <c r="GA47">
        <v>0</v>
      </c>
    </row>
    <row r="48" spans="1:183" x14ac:dyDescent="0.2">
      <c r="A48">
        <v>47</v>
      </c>
      <c r="B48">
        <v>1</v>
      </c>
      <c r="C48">
        <v>1</v>
      </c>
      <c r="D48">
        <v>0</v>
      </c>
      <c r="E48" s="2">
        <v>21408</v>
      </c>
      <c r="F48" s="2">
        <v>44526</v>
      </c>
      <c r="G48" s="3">
        <f t="shared" si="0"/>
        <v>63.25</v>
      </c>
      <c r="H48">
        <v>50</v>
      </c>
      <c r="I48" s="3">
        <f t="shared" si="1"/>
        <v>13.25</v>
      </c>
      <c r="J48">
        <v>0</v>
      </c>
      <c r="K48">
        <v>3</v>
      </c>
      <c r="L48">
        <v>0</v>
      </c>
      <c r="M48">
        <v>0</v>
      </c>
      <c r="N48">
        <v>1</v>
      </c>
      <c r="O48">
        <v>0</v>
      </c>
      <c r="P48">
        <v>1</v>
      </c>
      <c r="Q48">
        <v>4</v>
      </c>
      <c r="R48">
        <v>1</v>
      </c>
      <c r="S48">
        <v>0</v>
      </c>
      <c r="T48">
        <v>0</v>
      </c>
      <c r="U48">
        <v>0</v>
      </c>
      <c r="V48">
        <v>1</v>
      </c>
      <c r="W48">
        <v>1</v>
      </c>
      <c r="X48">
        <v>2</v>
      </c>
      <c r="Y48">
        <v>2</v>
      </c>
      <c r="Z48">
        <v>5</v>
      </c>
      <c r="AA48">
        <v>2</v>
      </c>
      <c r="AB48">
        <v>5</v>
      </c>
      <c r="AC48">
        <v>6</v>
      </c>
      <c r="AD48">
        <v>6</v>
      </c>
      <c r="AE48">
        <v>1</v>
      </c>
      <c r="AF48">
        <v>0</v>
      </c>
      <c r="AG48">
        <v>0</v>
      </c>
      <c r="AH48">
        <v>0</v>
      </c>
      <c r="AI48">
        <f>AJ48*ledd!$B$2+AK48*ledd!$B$3+AL48*ledd!$B$4+AM48*ledd!$B$5+AN48*ledd!$B$6+AO48*ledd!$B$7+AP48*ledd!$B$8+AQ48*ledd!$B$9+AR48*ledd!$B$10+AS48*ledd!$B$11+AT48*ledd!$B$12+AU48*ledd!$B$13+AV48*ledd!$B$14+AW48*ledd!$B$15+AX48*ledd!$B$16</f>
        <v>1036.5</v>
      </c>
      <c r="AJ48">
        <v>525</v>
      </c>
      <c r="AK48">
        <v>100</v>
      </c>
      <c r="AL48">
        <v>0</v>
      </c>
      <c r="AM48">
        <v>0</v>
      </c>
      <c r="AN48">
        <v>0</v>
      </c>
      <c r="AO48">
        <v>16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50</v>
      </c>
      <c r="AY48">
        <v>2</v>
      </c>
      <c r="AZ48" s="3">
        <v>3</v>
      </c>
      <c r="BA48" s="3">
        <v>2</v>
      </c>
      <c r="BB48" s="3">
        <v>2</v>
      </c>
      <c r="BC48" s="3">
        <v>2</v>
      </c>
      <c r="BD48" s="3">
        <v>0</v>
      </c>
      <c r="BE48" s="3">
        <v>2</v>
      </c>
      <c r="BF48" s="3">
        <v>2</v>
      </c>
      <c r="BG48" s="3">
        <v>0</v>
      </c>
      <c r="BH48" s="3">
        <v>0</v>
      </c>
      <c r="BI48" s="3">
        <v>1</v>
      </c>
      <c r="BJ48" s="3">
        <v>0</v>
      </c>
      <c r="BK48" s="3">
        <v>2</v>
      </c>
      <c r="BL48" s="3">
        <v>1</v>
      </c>
      <c r="BM48" s="3">
        <v>0</v>
      </c>
      <c r="BN48" s="3">
        <v>1</v>
      </c>
      <c r="BO48" s="3">
        <v>1</v>
      </c>
      <c r="BP48" s="3">
        <v>0</v>
      </c>
      <c r="BQ48" s="3">
        <v>1</v>
      </c>
      <c r="BR48" s="3">
        <v>0</v>
      </c>
      <c r="BS48" s="3">
        <v>1</v>
      </c>
      <c r="BT48" s="3">
        <v>1</v>
      </c>
      <c r="BU48" s="3">
        <v>2</v>
      </c>
      <c r="BV48" s="3">
        <v>0</v>
      </c>
      <c r="BW48" s="3">
        <v>0</v>
      </c>
      <c r="BX48" s="3">
        <v>2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2</v>
      </c>
      <c r="CF48" s="3">
        <v>0</v>
      </c>
      <c r="CG48" s="3">
        <v>1</v>
      </c>
      <c r="CH48" s="3">
        <v>0</v>
      </c>
      <c r="CI48" s="3">
        <v>0</v>
      </c>
      <c r="CJ48" s="3">
        <v>3</v>
      </c>
      <c r="CK48" s="3">
        <v>3</v>
      </c>
      <c r="CL48" s="3">
        <v>3</v>
      </c>
      <c r="CM48" s="3">
        <f t="shared" si="7"/>
        <v>35</v>
      </c>
      <c r="CN48" s="3">
        <f t="shared" si="8"/>
        <v>20.833333333333332</v>
      </c>
      <c r="CO48" s="3">
        <f t="shared" si="9"/>
        <v>20.833333333333332</v>
      </c>
      <c r="CP48" s="3">
        <f t="shared" si="10"/>
        <v>12.5</v>
      </c>
      <c r="CQ48" s="3">
        <f t="shared" si="11"/>
        <v>0</v>
      </c>
      <c r="CR48" s="3">
        <f t="shared" si="12"/>
        <v>12.5</v>
      </c>
      <c r="CS48">
        <f t="shared" si="13"/>
        <v>8.3333333333333339</v>
      </c>
      <c r="CT48">
        <f t="shared" si="14"/>
        <v>75</v>
      </c>
      <c r="CU48">
        <f t="shared" si="15"/>
        <v>23.125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2</v>
      </c>
      <c r="DD48">
        <v>0</v>
      </c>
      <c r="DE48">
        <v>2</v>
      </c>
      <c r="DF48">
        <v>3</v>
      </c>
      <c r="DG48">
        <v>0</v>
      </c>
      <c r="DH48">
        <v>0</v>
      </c>
      <c r="DI48">
        <v>0</v>
      </c>
      <c r="DJ48">
        <v>0</v>
      </c>
      <c r="DK48">
        <f t="shared" si="2"/>
        <v>7</v>
      </c>
      <c r="DL48">
        <v>1</v>
      </c>
      <c r="DM48">
        <v>0</v>
      </c>
      <c r="DN48">
        <v>1</v>
      </c>
      <c r="DO48">
        <v>1</v>
      </c>
      <c r="DP48">
        <v>1</v>
      </c>
      <c r="DQ48">
        <v>0</v>
      </c>
      <c r="DR48">
        <v>0</v>
      </c>
      <c r="DS48">
        <v>0</v>
      </c>
      <c r="DT48">
        <v>1</v>
      </c>
      <c r="DU48">
        <v>0</v>
      </c>
      <c r="DV48">
        <v>1</v>
      </c>
      <c r="DW48">
        <v>0</v>
      </c>
      <c r="DX48">
        <v>0</v>
      </c>
      <c r="DY48">
        <f t="shared" si="16"/>
        <v>6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1</v>
      </c>
      <c r="EO48">
        <v>0</v>
      </c>
      <c r="EP48">
        <v>0</v>
      </c>
      <c r="EQ48">
        <v>0</v>
      </c>
      <c r="ER48">
        <v>1</v>
      </c>
      <c r="ES48">
        <v>0</v>
      </c>
      <c r="ET48">
        <v>1</v>
      </c>
      <c r="EU48">
        <v>1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f t="shared" si="3"/>
        <v>4</v>
      </c>
      <c r="FH48">
        <v>2</v>
      </c>
      <c r="FI48">
        <v>3</v>
      </c>
      <c r="FJ48">
        <v>0</v>
      </c>
      <c r="FK48">
        <v>0</v>
      </c>
      <c r="FL48">
        <v>0</v>
      </c>
      <c r="FM48">
        <v>0</v>
      </c>
      <c r="FN48">
        <f t="shared" si="4"/>
        <v>5</v>
      </c>
      <c r="FO48">
        <f t="shared" si="17"/>
        <v>22</v>
      </c>
      <c r="FP48">
        <v>10</v>
      </c>
      <c r="FQ48">
        <v>5</v>
      </c>
      <c r="FR48">
        <v>3</v>
      </c>
      <c r="FS48">
        <v>6</v>
      </c>
      <c r="FT48">
        <v>3</v>
      </c>
      <c r="FU48">
        <v>2</v>
      </c>
      <c r="FV48">
        <v>5</v>
      </c>
      <c r="FW48">
        <v>6</v>
      </c>
      <c r="FX48">
        <f t="shared" si="18"/>
        <v>30</v>
      </c>
      <c r="FY48">
        <v>0</v>
      </c>
      <c r="FZ48">
        <f t="shared" si="6"/>
        <v>2</v>
      </c>
      <c r="GA48">
        <v>1</v>
      </c>
    </row>
    <row r="49" spans="1:183" x14ac:dyDescent="0.2">
      <c r="A49">
        <v>48</v>
      </c>
      <c r="B49">
        <v>1</v>
      </c>
      <c r="C49">
        <v>1</v>
      </c>
      <c r="D49">
        <v>0</v>
      </c>
      <c r="E49" s="2">
        <v>24381</v>
      </c>
      <c r="F49" s="2">
        <v>44528</v>
      </c>
      <c r="G49" s="3">
        <f t="shared" si="0"/>
        <v>55.083333333333336</v>
      </c>
      <c r="H49">
        <v>39</v>
      </c>
      <c r="I49" s="3">
        <f t="shared" si="1"/>
        <v>16.083333333333336</v>
      </c>
      <c r="J49">
        <v>0</v>
      </c>
      <c r="K49">
        <v>0</v>
      </c>
      <c r="L49">
        <v>1</v>
      </c>
      <c r="M49">
        <v>0</v>
      </c>
      <c r="N49">
        <v>1</v>
      </c>
      <c r="O49">
        <v>0</v>
      </c>
      <c r="P49">
        <v>3</v>
      </c>
      <c r="Q49">
        <v>3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3</v>
      </c>
      <c r="Y49">
        <v>2</v>
      </c>
      <c r="Z49">
        <v>6</v>
      </c>
      <c r="AA49">
        <v>0</v>
      </c>
      <c r="AC49">
        <v>1</v>
      </c>
      <c r="AD49">
        <v>6</v>
      </c>
      <c r="AE49">
        <v>0</v>
      </c>
      <c r="AF49">
        <v>0</v>
      </c>
      <c r="AG49">
        <v>0</v>
      </c>
      <c r="AH49">
        <v>0</v>
      </c>
      <c r="AI49">
        <f>AJ49*ledd!$B$2+AK49*ledd!$B$3+AL49*ledd!$B$4+AM49*ledd!$B$5+AN49*ledd!$B$6+AO49*ledd!$B$7+AP49*ledd!$B$8+AQ49*ledd!$B$9+AR49*ledd!$B$10+AS49*ledd!$B$11+AT49*ledd!$B$12+AU49*ledd!$B$13+AV49*ledd!$B$14+AW49*ledd!$B$15+AX49*ledd!$B$16</f>
        <v>1393.5</v>
      </c>
      <c r="AJ49">
        <v>775</v>
      </c>
      <c r="AK49">
        <v>100</v>
      </c>
      <c r="AL49">
        <v>0</v>
      </c>
      <c r="AM49">
        <v>0</v>
      </c>
      <c r="AN49">
        <v>1.57</v>
      </c>
      <c r="AO49">
        <v>0</v>
      </c>
      <c r="AP49">
        <v>4</v>
      </c>
      <c r="AQ49">
        <v>0</v>
      </c>
      <c r="AR49">
        <v>0</v>
      </c>
      <c r="AS49">
        <v>0</v>
      </c>
      <c r="AT49">
        <v>150</v>
      </c>
      <c r="AU49">
        <v>0</v>
      </c>
      <c r="AV49">
        <v>0</v>
      </c>
      <c r="AW49">
        <v>100</v>
      </c>
      <c r="AX49">
        <v>50</v>
      </c>
      <c r="AY49">
        <v>2</v>
      </c>
      <c r="AZ49" s="3">
        <v>3</v>
      </c>
      <c r="BA49" s="3">
        <v>3</v>
      </c>
      <c r="BB49" s="3">
        <v>4</v>
      </c>
      <c r="BC49" s="3">
        <v>4</v>
      </c>
      <c r="BD49" s="3">
        <v>4</v>
      </c>
      <c r="BE49" s="3">
        <v>4</v>
      </c>
      <c r="BF49" s="3">
        <v>4</v>
      </c>
      <c r="BG49" s="3">
        <v>4</v>
      </c>
      <c r="BH49" s="3">
        <v>4</v>
      </c>
      <c r="BI49" s="3">
        <v>4</v>
      </c>
      <c r="BJ49" s="3">
        <v>3</v>
      </c>
      <c r="BK49" s="3">
        <v>3</v>
      </c>
      <c r="BL49" s="3">
        <v>3</v>
      </c>
      <c r="BM49" s="3">
        <v>3</v>
      </c>
      <c r="BN49" s="3">
        <v>2</v>
      </c>
      <c r="BO49" s="3">
        <v>2</v>
      </c>
      <c r="BP49" s="3">
        <v>2</v>
      </c>
      <c r="BQ49" s="3">
        <v>1</v>
      </c>
      <c r="BR49" s="3">
        <v>1</v>
      </c>
      <c r="BS49" s="3">
        <v>1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1</v>
      </c>
      <c r="CC49" s="3">
        <v>3</v>
      </c>
      <c r="CD49" s="3">
        <v>3</v>
      </c>
      <c r="CE49" s="3">
        <v>0</v>
      </c>
      <c r="CF49" s="3">
        <v>3</v>
      </c>
      <c r="CG49" s="3">
        <v>1</v>
      </c>
      <c r="CH49" s="3">
        <v>0</v>
      </c>
      <c r="CI49" s="3">
        <v>0</v>
      </c>
      <c r="CJ49" s="3">
        <v>4</v>
      </c>
      <c r="CK49" s="3">
        <v>3</v>
      </c>
      <c r="CL49" s="3">
        <v>3</v>
      </c>
      <c r="CM49" s="3">
        <f t="shared" si="7"/>
        <v>95</v>
      </c>
      <c r="CN49" s="3">
        <f t="shared" si="8"/>
        <v>66.666666666666671</v>
      </c>
      <c r="CO49" s="3">
        <f t="shared" si="9"/>
        <v>20.833333333333332</v>
      </c>
      <c r="CP49" s="3">
        <f t="shared" si="10"/>
        <v>0</v>
      </c>
      <c r="CQ49" s="3">
        <f t="shared" si="11"/>
        <v>8.3333333333333339</v>
      </c>
      <c r="CR49" s="3">
        <f t="shared" si="12"/>
        <v>56.25</v>
      </c>
      <c r="CS49">
        <f t="shared" si="13"/>
        <v>8.3333333333333339</v>
      </c>
      <c r="CT49">
        <f t="shared" si="14"/>
        <v>83.333333333333329</v>
      </c>
      <c r="CU49">
        <f t="shared" si="15"/>
        <v>42.343750000000007</v>
      </c>
      <c r="CV49">
        <v>1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3</v>
      </c>
      <c r="DF49">
        <v>3</v>
      </c>
      <c r="DG49">
        <v>0</v>
      </c>
      <c r="DH49">
        <v>0</v>
      </c>
      <c r="DI49">
        <v>0</v>
      </c>
      <c r="DJ49">
        <v>0</v>
      </c>
      <c r="DK49">
        <f t="shared" si="2"/>
        <v>7</v>
      </c>
      <c r="DL49">
        <v>1</v>
      </c>
      <c r="DM49">
        <v>2</v>
      </c>
      <c r="DN49">
        <v>0</v>
      </c>
      <c r="DO49">
        <v>0</v>
      </c>
      <c r="DP49">
        <v>1</v>
      </c>
      <c r="DQ49">
        <v>0</v>
      </c>
      <c r="DR49">
        <v>0</v>
      </c>
      <c r="DS49">
        <v>0</v>
      </c>
      <c r="DT49">
        <v>1</v>
      </c>
      <c r="DU49">
        <v>1</v>
      </c>
      <c r="DV49">
        <v>0</v>
      </c>
      <c r="DW49">
        <v>2</v>
      </c>
      <c r="DX49">
        <v>0</v>
      </c>
      <c r="DY49">
        <f t="shared" si="16"/>
        <v>8</v>
      </c>
      <c r="DZ49">
        <v>1</v>
      </c>
      <c r="EA49">
        <v>1</v>
      </c>
      <c r="EB49">
        <v>0</v>
      </c>
      <c r="EC49">
        <v>1</v>
      </c>
      <c r="ED49">
        <v>0</v>
      </c>
      <c r="EE49">
        <v>1</v>
      </c>
      <c r="EF49">
        <v>0</v>
      </c>
      <c r="EG49">
        <v>1</v>
      </c>
      <c r="EH49">
        <v>0</v>
      </c>
      <c r="EI49">
        <v>1</v>
      </c>
      <c r="EJ49">
        <v>0</v>
      </c>
      <c r="EK49">
        <v>1</v>
      </c>
      <c r="EL49">
        <v>0</v>
      </c>
      <c r="EM49">
        <v>1</v>
      </c>
      <c r="EN49">
        <v>1</v>
      </c>
      <c r="EO49">
        <v>2</v>
      </c>
      <c r="EP49">
        <v>1</v>
      </c>
      <c r="EQ49">
        <v>0</v>
      </c>
      <c r="ER49">
        <v>1</v>
      </c>
      <c r="ES49">
        <v>0</v>
      </c>
      <c r="ET49">
        <v>1</v>
      </c>
      <c r="EU49">
        <v>2</v>
      </c>
      <c r="EV49">
        <v>1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f t="shared" si="3"/>
        <v>17</v>
      </c>
      <c r="FH49">
        <v>2</v>
      </c>
      <c r="FI49">
        <v>4</v>
      </c>
      <c r="FJ49">
        <v>3</v>
      </c>
      <c r="FK49">
        <v>3</v>
      </c>
      <c r="FL49">
        <v>1</v>
      </c>
      <c r="FM49">
        <v>2</v>
      </c>
      <c r="FN49">
        <f t="shared" si="4"/>
        <v>15</v>
      </c>
      <c r="FO49">
        <f t="shared" si="17"/>
        <v>47</v>
      </c>
      <c r="FP49">
        <v>0</v>
      </c>
      <c r="FQ49">
        <v>4</v>
      </c>
      <c r="FR49">
        <v>3</v>
      </c>
      <c r="FS49">
        <v>6</v>
      </c>
      <c r="FT49">
        <v>3</v>
      </c>
      <c r="FU49">
        <v>2</v>
      </c>
      <c r="FV49">
        <v>4</v>
      </c>
      <c r="FW49">
        <v>6</v>
      </c>
      <c r="FX49">
        <f t="shared" si="18"/>
        <v>28</v>
      </c>
      <c r="FY49">
        <v>0</v>
      </c>
      <c r="FZ49">
        <f t="shared" si="6"/>
        <v>1</v>
      </c>
      <c r="GA49">
        <v>0</v>
      </c>
    </row>
    <row r="50" spans="1:183" x14ac:dyDescent="0.2">
      <c r="A50">
        <v>49</v>
      </c>
      <c r="B50">
        <v>1</v>
      </c>
      <c r="C50">
        <v>1</v>
      </c>
      <c r="D50">
        <v>1</v>
      </c>
      <c r="E50" s="2">
        <v>17366</v>
      </c>
      <c r="F50" s="2">
        <v>44528</v>
      </c>
      <c r="G50" s="3">
        <f t="shared" si="0"/>
        <v>74.333333333333329</v>
      </c>
      <c r="H50">
        <v>72</v>
      </c>
      <c r="I50" s="3">
        <f t="shared" si="1"/>
        <v>2.3333333333333286</v>
      </c>
      <c r="J50">
        <v>0</v>
      </c>
      <c r="K50">
        <v>1</v>
      </c>
      <c r="L50">
        <v>0</v>
      </c>
      <c r="M50">
        <v>0</v>
      </c>
      <c r="N50">
        <v>2</v>
      </c>
      <c r="O50">
        <v>0</v>
      </c>
      <c r="P50">
        <v>3</v>
      </c>
      <c r="Q50">
        <v>2</v>
      </c>
      <c r="R50">
        <v>1</v>
      </c>
      <c r="S50">
        <v>0</v>
      </c>
      <c r="T50">
        <v>0</v>
      </c>
      <c r="U50">
        <v>0</v>
      </c>
      <c r="V50">
        <v>1</v>
      </c>
      <c r="W50">
        <v>1</v>
      </c>
      <c r="X50">
        <v>2</v>
      </c>
      <c r="Y50">
        <v>2</v>
      </c>
      <c r="Z50">
        <v>0</v>
      </c>
      <c r="AA50">
        <v>2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f>AJ50*ledd!$B$2+AK50*ledd!$B$3+AL50*ledd!$B$4+AM50*ledd!$B$5+AN50*ledd!$B$6+AO50*ledd!$B$7+AP50*ledd!$B$8+AQ50*ledd!$B$9+AR50*ledd!$B$10+AS50*ledd!$B$11+AT50*ledd!$B$12+AU50*ledd!$B$13+AV50*ledd!$B$14+AW50*ledd!$B$15+AX50*ledd!$B$16</f>
        <v>400</v>
      </c>
      <c r="AJ50">
        <v>400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2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1</v>
      </c>
      <c r="BL50" s="3">
        <v>0</v>
      </c>
      <c r="BM50" s="3">
        <v>1</v>
      </c>
      <c r="BN50" s="3">
        <v>0</v>
      </c>
      <c r="BO50" s="3">
        <v>0</v>
      </c>
      <c r="BP50" s="3">
        <v>1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1</v>
      </c>
      <c r="CE50" s="3">
        <v>0</v>
      </c>
      <c r="CF50" s="3">
        <v>0</v>
      </c>
      <c r="CG50" s="3">
        <v>2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f t="shared" si="7"/>
        <v>0</v>
      </c>
      <c r="CN50" s="3">
        <f t="shared" si="8"/>
        <v>8.3333333333333339</v>
      </c>
      <c r="CO50" s="3">
        <f t="shared" si="9"/>
        <v>4.166666666666667</v>
      </c>
      <c r="CP50" s="3">
        <f t="shared" si="10"/>
        <v>0</v>
      </c>
      <c r="CQ50" s="3">
        <f t="shared" si="11"/>
        <v>0</v>
      </c>
      <c r="CR50" s="3">
        <f t="shared" si="12"/>
        <v>6.25</v>
      </c>
      <c r="CS50">
        <f t="shared" si="13"/>
        <v>16.666666666666668</v>
      </c>
      <c r="CT50">
        <f t="shared" si="14"/>
        <v>0</v>
      </c>
      <c r="CU50">
        <f t="shared" si="15"/>
        <v>4.4270833333333339</v>
      </c>
      <c r="CV50">
        <v>1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f t="shared" si="2"/>
        <v>1</v>
      </c>
      <c r="DL50">
        <v>2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2</v>
      </c>
      <c r="DS50">
        <v>0</v>
      </c>
      <c r="DT50">
        <v>0</v>
      </c>
      <c r="DU50">
        <v>0</v>
      </c>
      <c r="DV50">
        <v>0</v>
      </c>
      <c r="DW50">
        <v>1</v>
      </c>
      <c r="DX50">
        <v>0</v>
      </c>
      <c r="DY50">
        <f t="shared" si="16"/>
        <v>5</v>
      </c>
      <c r="DZ50">
        <v>2</v>
      </c>
      <c r="EA50">
        <v>2</v>
      </c>
      <c r="EB50">
        <v>0</v>
      </c>
      <c r="EC50">
        <v>2</v>
      </c>
      <c r="ED50">
        <v>0</v>
      </c>
      <c r="EE50">
        <v>2</v>
      </c>
      <c r="EF50">
        <v>0</v>
      </c>
      <c r="EG50">
        <v>3</v>
      </c>
      <c r="EH50">
        <v>3</v>
      </c>
      <c r="EI50">
        <v>0</v>
      </c>
      <c r="EJ50">
        <v>0</v>
      </c>
      <c r="EK50">
        <v>2</v>
      </c>
      <c r="EL50">
        <v>2</v>
      </c>
      <c r="EM50">
        <v>1</v>
      </c>
      <c r="EN50">
        <v>1</v>
      </c>
      <c r="EO50">
        <v>0</v>
      </c>
      <c r="EP50">
        <v>0</v>
      </c>
      <c r="EQ50">
        <v>0</v>
      </c>
      <c r="ER50">
        <v>2</v>
      </c>
      <c r="ES50">
        <v>0</v>
      </c>
      <c r="ET50">
        <v>1</v>
      </c>
      <c r="EU50">
        <v>1</v>
      </c>
      <c r="EV50">
        <v>2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f t="shared" si="3"/>
        <v>26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f t="shared" si="4"/>
        <v>0</v>
      </c>
      <c r="FO50">
        <f t="shared" si="17"/>
        <v>32</v>
      </c>
      <c r="FP50">
        <v>4</v>
      </c>
      <c r="FQ50">
        <v>2</v>
      </c>
      <c r="FR50">
        <v>3</v>
      </c>
      <c r="FS50">
        <v>6</v>
      </c>
      <c r="FT50">
        <v>2</v>
      </c>
      <c r="FU50">
        <v>0</v>
      </c>
      <c r="FV50">
        <v>1</v>
      </c>
      <c r="FW50">
        <v>4</v>
      </c>
      <c r="FX50">
        <f t="shared" si="18"/>
        <v>18</v>
      </c>
      <c r="FY50">
        <v>1</v>
      </c>
      <c r="FZ50">
        <f t="shared" si="6"/>
        <v>4</v>
      </c>
      <c r="GA50">
        <v>0</v>
      </c>
    </row>
    <row r="51" spans="1:183" x14ac:dyDescent="0.2">
      <c r="A51">
        <v>50</v>
      </c>
      <c r="B51">
        <v>1</v>
      </c>
      <c r="C51">
        <v>1</v>
      </c>
      <c r="D51">
        <v>1</v>
      </c>
      <c r="E51" s="2">
        <v>18007</v>
      </c>
      <c r="F51" s="2">
        <v>44533</v>
      </c>
      <c r="G51" s="3">
        <f t="shared" si="0"/>
        <v>72.583333333333329</v>
      </c>
      <c r="H51">
        <v>59</v>
      </c>
      <c r="I51" s="3">
        <f t="shared" si="1"/>
        <v>13.583333333333329</v>
      </c>
      <c r="J51">
        <v>0</v>
      </c>
      <c r="K51">
        <v>1</v>
      </c>
      <c r="L51">
        <v>8</v>
      </c>
      <c r="M51">
        <v>0</v>
      </c>
      <c r="N51">
        <v>2</v>
      </c>
      <c r="O51">
        <v>0</v>
      </c>
      <c r="P51">
        <v>3</v>
      </c>
      <c r="Q51">
        <v>4</v>
      </c>
      <c r="R51">
        <v>3</v>
      </c>
      <c r="S51">
        <v>1</v>
      </c>
      <c r="T51">
        <v>1</v>
      </c>
      <c r="U51">
        <v>0</v>
      </c>
      <c r="V51">
        <v>0</v>
      </c>
      <c r="W51">
        <v>1</v>
      </c>
      <c r="X51">
        <v>3</v>
      </c>
      <c r="Y51">
        <v>2</v>
      </c>
      <c r="Z51">
        <v>0</v>
      </c>
      <c r="AA51">
        <v>0</v>
      </c>
      <c r="AC51">
        <v>0</v>
      </c>
      <c r="AD51">
        <v>6</v>
      </c>
      <c r="AE51">
        <v>1</v>
      </c>
      <c r="AF51">
        <v>0</v>
      </c>
      <c r="AG51">
        <v>0</v>
      </c>
      <c r="AH51">
        <v>0</v>
      </c>
      <c r="AI51">
        <f>AJ51*ledd!$B$2+AK51*ledd!$B$3+AL51*ledd!$B$4+AM51*ledd!$B$5+AN51*ledd!$B$6+AO51*ledd!$B$7+AP51*ledd!$B$8+AQ51*ledd!$B$9+AR51*ledd!$B$10+AS51*ledd!$B$11+AT51*ledd!$B$12+AU51*ledd!$B$13+AV51*ledd!$B$14+AW51*ledd!$B$15+AX51*ledd!$B$16</f>
        <v>1024</v>
      </c>
      <c r="AJ51">
        <v>350</v>
      </c>
      <c r="AK51">
        <v>200</v>
      </c>
      <c r="AL51">
        <v>800</v>
      </c>
      <c r="AM51">
        <v>0</v>
      </c>
      <c r="AN51">
        <v>2.1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50</v>
      </c>
      <c r="AU51">
        <v>0</v>
      </c>
      <c r="AV51">
        <v>0</v>
      </c>
      <c r="AW51">
        <v>0</v>
      </c>
      <c r="AX51">
        <v>0</v>
      </c>
      <c r="AY51">
        <v>2</v>
      </c>
      <c r="AZ51" s="3">
        <v>2</v>
      </c>
      <c r="BA51" s="3">
        <v>1</v>
      </c>
      <c r="BB51" s="3">
        <v>2</v>
      </c>
      <c r="BC51" s="3">
        <v>1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3</v>
      </c>
      <c r="BJ51" s="3">
        <v>0</v>
      </c>
      <c r="BK51" s="3">
        <v>0</v>
      </c>
      <c r="BL51" s="3">
        <v>0</v>
      </c>
      <c r="BM51" s="3">
        <v>3</v>
      </c>
      <c r="BN51" s="3">
        <v>0</v>
      </c>
      <c r="BO51" s="3">
        <v>0</v>
      </c>
      <c r="BP51" s="3">
        <v>0</v>
      </c>
      <c r="BQ51" s="3">
        <v>0</v>
      </c>
      <c r="BR51" s="3">
        <v>3</v>
      </c>
      <c r="BS51" s="3">
        <v>0</v>
      </c>
      <c r="BT51" s="3">
        <v>0</v>
      </c>
      <c r="BU51" s="3">
        <v>1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1</v>
      </c>
      <c r="CE51" s="3">
        <v>0</v>
      </c>
      <c r="CF51" s="3">
        <v>0</v>
      </c>
      <c r="CG51" s="3">
        <v>2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f t="shared" si="7"/>
        <v>22.5</v>
      </c>
      <c r="CN51" s="3">
        <f t="shared" si="8"/>
        <v>12.5</v>
      </c>
      <c r="CO51" s="3">
        <f t="shared" si="9"/>
        <v>16.666666666666668</v>
      </c>
      <c r="CP51" s="3">
        <f t="shared" si="10"/>
        <v>0</v>
      </c>
      <c r="CQ51" s="3">
        <f t="shared" si="11"/>
        <v>0</v>
      </c>
      <c r="CR51" s="3">
        <f t="shared" si="12"/>
        <v>6.25</v>
      </c>
      <c r="CS51">
        <f t="shared" si="13"/>
        <v>16.666666666666668</v>
      </c>
      <c r="CT51">
        <f t="shared" si="14"/>
        <v>0</v>
      </c>
      <c r="CU51">
        <f t="shared" si="15"/>
        <v>9.3229166666666679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1</v>
      </c>
      <c r="DE51">
        <v>0</v>
      </c>
      <c r="DF51">
        <v>1</v>
      </c>
      <c r="DG51">
        <v>0</v>
      </c>
      <c r="DH51">
        <v>0</v>
      </c>
      <c r="DI51">
        <v>0</v>
      </c>
      <c r="DJ51">
        <v>0</v>
      </c>
      <c r="DK51">
        <f t="shared" si="2"/>
        <v>2</v>
      </c>
      <c r="DL51">
        <v>1</v>
      </c>
      <c r="DM51">
        <v>1</v>
      </c>
      <c r="DN51">
        <v>0</v>
      </c>
      <c r="DO51">
        <v>0</v>
      </c>
      <c r="DP51">
        <v>1</v>
      </c>
      <c r="DQ51">
        <v>0</v>
      </c>
      <c r="DR51">
        <v>3</v>
      </c>
      <c r="DS51">
        <v>1</v>
      </c>
      <c r="DT51">
        <v>0</v>
      </c>
      <c r="DU51">
        <v>1</v>
      </c>
      <c r="DV51">
        <v>1</v>
      </c>
      <c r="DW51">
        <v>1</v>
      </c>
      <c r="DX51">
        <v>1</v>
      </c>
      <c r="DY51">
        <f t="shared" si="16"/>
        <v>11</v>
      </c>
      <c r="DZ51">
        <v>1</v>
      </c>
      <c r="EA51">
        <v>1</v>
      </c>
      <c r="EB51">
        <v>0</v>
      </c>
      <c r="EC51">
        <v>2</v>
      </c>
      <c r="ED51">
        <v>2</v>
      </c>
      <c r="EE51">
        <v>1</v>
      </c>
      <c r="EF51">
        <v>1</v>
      </c>
      <c r="EG51">
        <v>1</v>
      </c>
      <c r="EH51">
        <v>1</v>
      </c>
      <c r="EI51">
        <v>2</v>
      </c>
      <c r="EJ51">
        <v>1</v>
      </c>
      <c r="EK51">
        <v>2</v>
      </c>
      <c r="EL51">
        <v>1</v>
      </c>
      <c r="EM51">
        <v>1</v>
      </c>
      <c r="EN51">
        <v>2</v>
      </c>
      <c r="EO51">
        <v>1</v>
      </c>
      <c r="EP51">
        <v>1</v>
      </c>
      <c r="EQ51">
        <v>1</v>
      </c>
      <c r="ER51">
        <v>1</v>
      </c>
      <c r="ES51">
        <v>2</v>
      </c>
      <c r="ET51">
        <v>0</v>
      </c>
      <c r="EU51">
        <v>1</v>
      </c>
      <c r="EV51">
        <v>1</v>
      </c>
      <c r="EW51">
        <v>1</v>
      </c>
      <c r="EX51">
        <v>0</v>
      </c>
      <c r="EY51">
        <v>1</v>
      </c>
      <c r="EZ51">
        <v>1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f t="shared" si="3"/>
        <v>30</v>
      </c>
      <c r="FH51">
        <v>2</v>
      </c>
      <c r="FI51">
        <v>3</v>
      </c>
      <c r="FJ51">
        <v>3</v>
      </c>
      <c r="FK51">
        <v>4</v>
      </c>
      <c r="FL51">
        <v>1</v>
      </c>
      <c r="FM51">
        <v>0</v>
      </c>
      <c r="FN51">
        <f t="shared" si="4"/>
        <v>13</v>
      </c>
      <c r="FO51">
        <f t="shared" si="17"/>
        <v>56</v>
      </c>
      <c r="FP51">
        <v>10</v>
      </c>
      <c r="FQ51">
        <v>5</v>
      </c>
      <c r="FR51">
        <v>3</v>
      </c>
      <c r="FS51">
        <v>6</v>
      </c>
      <c r="FT51">
        <v>3</v>
      </c>
      <c r="FU51">
        <v>2</v>
      </c>
      <c r="FV51">
        <v>2</v>
      </c>
      <c r="FW51">
        <v>6</v>
      </c>
      <c r="FX51">
        <f t="shared" si="18"/>
        <v>27</v>
      </c>
      <c r="FY51">
        <v>0</v>
      </c>
      <c r="FZ51">
        <f t="shared" si="6"/>
        <v>3</v>
      </c>
      <c r="GA51">
        <v>1</v>
      </c>
    </row>
    <row r="52" spans="1:183" x14ac:dyDescent="0.2">
      <c r="A52">
        <v>51</v>
      </c>
      <c r="B52">
        <v>1</v>
      </c>
      <c r="C52">
        <v>1</v>
      </c>
      <c r="D52">
        <v>0</v>
      </c>
      <c r="E52" s="2">
        <v>21153</v>
      </c>
      <c r="F52" s="2">
        <v>44533</v>
      </c>
      <c r="G52" s="3">
        <f t="shared" si="0"/>
        <v>64</v>
      </c>
      <c r="H52">
        <v>38</v>
      </c>
      <c r="I52" s="3">
        <f t="shared" si="1"/>
        <v>26</v>
      </c>
      <c r="J52">
        <v>1</v>
      </c>
      <c r="K52">
        <v>3</v>
      </c>
      <c r="L52">
        <v>8</v>
      </c>
      <c r="M52">
        <v>0</v>
      </c>
      <c r="N52">
        <v>2</v>
      </c>
      <c r="O52">
        <v>0</v>
      </c>
      <c r="P52">
        <v>0</v>
      </c>
      <c r="Q52">
        <v>4</v>
      </c>
      <c r="R52">
        <v>3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  <c r="Y52">
        <v>2</v>
      </c>
      <c r="Z52">
        <v>0</v>
      </c>
      <c r="AA52">
        <v>2</v>
      </c>
      <c r="AB52">
        <v>0</v>
      </c>
      <c r="AC52" s="5">
        <v>0</v>
      </c>
      <c r="AD52">
        <v>6</v>
      </c>
      <c r="AE52">
        <v>1</v>
      </c>
      <c r="AF52">
        <v>0</v>
      </c>
      <c r="AG52">
        <v>0</v>
      </c>
      <c r="AH52">
        <v>0</v>
      </c>
      <c r="AI52">
        <f>AJ52*ledd!$B$2+AK52*ledd!$B$3+AL52*ledd!$B$4+AM52*ledd!$B$5+AN52*ledd!$B$6+AO52*ledd!$B$7+AP52*ledd!$B$8+AQ52*ledd!$B$9+AR52*ledd!$B$10+AS52*ledd!$B$11+AT52*ledd!$B$12+AU52*ledd!$B$13+AV52*ledd!$B$14+AW52*ledd!$B$15+AX52*ledd!$B$16</f>
        <v>1080</v>
      </c>
      <c r="AJ52">
        <v>400</v>
      </c>
      <c r="AK52">
        <v>0</v>
      </c>
      <c r="AL52">
        <v>0</v>
      </c>
      <c r="AM52">
        <v>0</v>
      </c>
      <c r="AN52">
        <v>0</v>
      </c>
      <c r="AO52">
        <v>24</v>
      </c>
      <c r="AP52">
        <v>0</v>
      </c>
      <c r="AQ52">
        <v>0</v>
      </c>
      <c r="AR52">
        <v>0</v>
      </c>
      <c r="AS52">
        <v>0</v>
      </c>
      <c r="AT52">
        <v>200</v>
      </c>
      <c r="AU52">
        <v>0</v>
      </c>
      <c r="AV52">
        <v>0</v>
      </c>
      <c r="AW52">
        <v>0</v>
      </c>
      <c r="AX52">
        <v>0</v>
      </c>
      <c r="AY52">
        <v>2</v>
      </c>
      <c r="AZ52" s="3">
        <v>2</v>
      </c>
      <c r="BA52" s="3">
        <v>2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3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2</v>
      </c>
      <c r="CM52" s="3">
        <f t="shared" si="7"/>
        <v>10</v>
      </c>
      <c r="CN52" s="3">
        <f t="shared" si="8"/>
        <v>12.5</v>
      </c>
      <c r="CO52" s="3">
        <f t="shared" si="9"/>
        <v>0</v>
      </c>
      <c r="CP52" s="3">
        <f t="shared" si="10"/>
        <v>0</v>
      </c>
      <c r="CQ52" s="3">
        <f t="shared" si="11"/>
        <v>0</v>
      </c>
      <c r="CR52" s="3">
        <f t="shared" si="12"/>
        <v>0</v>
      </c>
      <c r="CS52">
        <f t="shared" si="13"/>
        <v>0</v>
      </c>
      <c r="CT52">
        <f t="shared" si="14"/>
        <v>16.666666666666668</v>
      </c>
      <c r="CU52">
        <f t="shared" si="15"/>
        <v>4.8958333333333339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f t="shared" si="2"/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3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4</v>
      </c>
      <c r="DY52">
        <f t="shared" si="16"/>
        <v>7</v>
      </c>
      <c r="DZ52">
        <v>0</v>
      </c>
      <c r="EA52">
        <v>0</v>
      </c>
      <c r="EB52">
        <v>0</v>
      </c>
      <c r="EC52">
        <v>0</v>
      </c>
      <c r="ED52">
        <v>2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3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1</v>
      </c>
      <c r="ET52">
        <v>2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f t="shared" si="3"/>
        <v>8</v>
      </c>
      <c r="FH52">
        <v>0</v>
      </c>
      <c r="FI52">
        <v>0</v>
      </c>
      <c r="FJ52">
        <v>1</v>
      </c>
      <c r="FK52">
        <v>4</v>
      </c>
      <c r="FL52">
        <v>1</v>
      </c>
      <c r="FM52">
        <v>0</v>
      </c>
      <c r="FN52">
        <f t="shared" si="4"/>
        <v>6</v>
      </c>
      <c r="FO52">
        <f t="shared" si="17"/>
        <v>21</v>
      </c>
      <c r="FP52">
        <v>3</v>
      </c>
      <c r="FQ52">
        <v>3</v>
      </c>
      <c r="FR52">
        <v>3</v>
      </c>
      <c r="FS52">
        <v>6</v>
      </c>
      <c r="FT52">
        <v>3</v>
      </c>
      <c r="FU52">
        <v>2</v>
      </c>
      <c r="FV52">
        <v>4</v>
      </c>
      <c r="FW52">
        <v>6</v>
      </c>
      <c r="FX52">
        <f t="shared" si="18"/>
        <v>27</v>
      </c>
      <c r="FY52">
        <v>0</v>
      </c>
      <c r="FZ52">
        <f t="shared" si="6"/>
        <v>2</v>
      </c>
      <c r="GA52">
        <v>1</v>
      </c>
    </row>
    <row r="53" spans="1:183" x14ac:dyDescent="0.2">
      <c r="A53">
        <v>52</v>
      </c>
      <c r="B53">
        <v>1</v>
      </c>
      <c r="C53">
        <v>1</v>
      </c>
      <c r="D53">
        <v>1</v>
      </c>
      <c r="E53" s="2">
        <v>21016</v>
      </c>
      <c r="F53" s="2">
        <v>44567</v>
      </c>
      <c r="G53" s="3">
        <f t="shared" si="0"/>
        <v>64.416666666666671</v>
      </c>
      <c r="H53">
        <v>60</v>
      </c>
      <c r="I53" s="3">
        <f t="shared" si="1"/>
        <v>4.4166666666666714</v>
      </c>
      <c r="J53">
        <v>0</v>
      </c>
      <c r="K53">
        <v>1</v>
      </c>
      <c r="L53">
        <v>1</v>
      </c>
      <c r="M53">
        <v>0</v>
      </c>
      <c r="N53">
        <v>2</v>
      </c>
      <c r="O53">
        <v>1</v>
      </c>
      <c r="P53">
        <v>2</v>
      </c>
      <c r="Q53">
        <v>1</v>
      </c>
      <c r="R53">
        <v>1</v>
      </c>
      <c r="S53">
        <v>0</v>
      </c>
      <c r="T53">
        <v>0</v>
      </c>
      <c r="U53">
        <v>0</v>
      </c>
      <c r="V53">
        <v>1</v>
      </c>
      <c r="W53">
        <v>0</v>
      </c>
      <c r="X53">
        <v>2</v>
      </c>
      <c r="Y53">
        <v>2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f>AJ53*ledd!$B$2+AK53*ledd!$B$3+AL53*ledd!$B$4+AM53*ledd!$B$5+AN53*ledd!$B$6+AO53*ledd!$B$7+AP53*ledd!$B$8+AQ53*ledd!$B$9+AR53*ledd!$B$10+AS53*ledd!$B$11+AT53*ledd!$B$12+AU53*ledd!$B$13+AV53*ledd!$B$14+AW53*ledd!$B$15+AX53*ledd!$B$16</f>
        <v>756.5</v>
      </c>
      <c r="AJ53">
        <v>500</v>
      </c>
      <c r="AK53">
        <v>200</v>
      </c>
      <c r="AL53">
        <v>0</v>
      </c>
      <c r="AM53">
        <v>0</v>
      </c>
      <c r="AN53">
        <v>0</v>
      </c>
      <c r="AO53">
        <v>0</v>
      </c>
      <c r="AP53">
        <v>3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50</v>
      </c>
      <c r="AY53">
        <v>4</v>
      </c>
      <c r="AZ53" s="3">
        <v>2</v>
      </c>
      <c r="BA53" s="3">
        <v>3</v>
      </c>
      <c r="BB53" s="3">
        <v>4</v>
      </c>
      <c r="BC53" s="3">
        <v>4</v>
      </c>
      <c r="BD53" s="3">
        <v>4</v>
      </c>
      <c r="BE53" s="3">
        <v>3</v>
      </c>
      <c r="BF53" s="3">
        <v>3</v>
      </c>
      <c r="BG53" s="3">
        <v>4</v>
      </c>
      <c r="BH53" s="3">
        <v>3</v>
      </c>
      <c r="BI53" s="3">
        <v>1</v>
      </c>
      <c r="BJ53" s="3">
        <v>0</v>
      </c>
      <c r="BK53" s="3">
        <v>0</v>
      </c>
      <c r="BL53" s="3">
        <v>0</v>
      </c>
      <c r="BM53" s="3">
        <v>3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2</v>
      </c>
      <c r="BU53" s="3">
        <v>3</v>
      </c>
      <c r="BV53" s="3">
        <v>1</v>
      </c>
      <c r="BW53" s="3">
        <v>3</v>
      </c>
      <c r="BX53" s="3">
        <v>1</v>
      </c>
      <c r="BY53" s="3">
        <v>1</v>
      </c>
      <c r="BZ53" s="3">
        <v>3</v>
      </c>
      <c r="CA53" s="3">
        <v>2</v>
      </c>
      <c r="CB53" s="3">
        <v>2</v>
      </c>
      <c r="CC53" s="3">
        <v>0</v>
      </c>
      <c r="CD53" s="3">
        <v>3</v>
      </c>
      <c r="CE53" s="3">
        <v>3</v>
      </c>
      <c r="CF53" s="3">
        <v>2</v>
      </c>
      <c r="CG53" s="3">
        <v>0</v>
      </c>
      <c r="CH53" s="3">
        <v>0</v>
      </c>
      <c r="CI53" s="3">
        <v>0</v>
      </c>
      <c r="CJ53" s="3">
        <v>3</v>
      </c>
      <c r="CK53" s="3">
        <v>1</v>
      </c>
      <c r="CL53" s="3">
        <v>0</v>
      </c>
      <c r="CM53" s="3">
        <f t="shared" si="7"/>
        <v>77.5</v>
      </c>
      <c r="CN53" s="3">
        <f t="shared" si="8"/>
        <v>12.5</v>
      </c>
      <c r="CO53" s="3">
        <f t="shared" si="9"/>
        <v>20.833333333333332</v>
      </c>
      <c r="CP53" s="3">
        <f t="shared" si="10"/>
        <v>37.5</v>
      </c>
      <c r="CQ53" s="3">
        <f t="shared" si="11"/>
        <v>58.333333333333336</v>
      </c>
      <c r="CR53" s="3">
        <f t="shared" si="12"/>
        <v>50</v>
      </c>
      <c r="CS53">
        <f t="shared" si="13"/>
        <v>0</v>
      </c>
      <c r="CT53">
        <f t="shared" si="14"/>
        <v>33.333333333333336</v>
      </c>
      <c r="CU53">
        <f t="shared" si="15"/>
        <v>36.249999999999993</v>
      </c>
      <c r="CV53">
        <v>4</v>
      </c>
      <c r="CW53">
        <v>2</v>
      </c>
      <c r="CX53">
        <v>3</v>
      </c>
      <c r="CY53">
        <v>2</v>
      </c>
      <c r="CZ53">
        <v>0</v>
      </c>
      <c r="DA53">
        <v>0</v>
      </c>
      <c r="DB53">
        <v>0</v>
      </c>
      <c r="DC53">
        <v>2</v>
      </c>
      <c r="DD53">
        <v>0</v>
      </c>
      <c r="DE53">
        <v>3</v>
      </c>
      <c r="DF53">
        <v>2</v>
      </c>
      <c r="DG53">
        <v>0</v>
      </c>
      <c r="DH53">
        <v>3</v>
      </c>
      <c r="DI53">
        <v>0</v>
      </c>
      <c r="DJ53">
        <v>0</v>
      </c>
      <c r="DK53">
        <f t="shared" si="2"/>
        <v>21</v>
      </c>
      <c r="DL53">
        <v>0</v>
      </c>
      <c r="DM53">
        <v>3</v>
      </c>
      <c r="DN53">
        <v>0</v>
      </c>
      <c r="DO53">
        <v>0</v>
      </c>
      <c r="DP53">
        <v>1</v>
      </c>
      <c r="DQ53">
        <v>2</v>
      </c>
      <c r="DR53">
        <v>4</v>
      </c>
      <c r="DS53">
        <v>0</v>
      </c>
      <c r="DT53">
        <v>2</v>
      </c>
      <c r="DU53">
        <v>0</v>
      </c>
      <c r="DV53">
        <v>1</v>
      </c>
      <c r="DW53">
        <v>2</v>
      </c>
      <c r="DX53">
        <v>4</v>
      </c>
      <c r="DY53">
        <f t="shared" si="16"/>
        <v>19</v>
      </c>
      <c r="DZ53">
        <v>1</v>
      </c>
      <c r="EA53">
        <v>1</v>
      </c>
      <c r="EB53">
        <v>1</v>
      </c>
      <c r="EC53">
        <v>2</v>
      </c>
      <c r="ED53">
        <v>0</v>
      </c>
      <c r="EE53">
        <v>2</v>
      </c>
      <c r="EF53">
        <v>0</v>
      </c>
      <c r="EG53">
        <v>1</v>
      </c>
      <c r="EH53">
        <v>2</v>
      </c>
      <c r="EI53">
        <v>1</v>
      </c>
      <c r="EJ53">
        <v>1</v>
      </c>
      <c r="EK53">
        <v>1</v>
      </c>
      <c r="EL53">
        <v>2</v>
      </c>
      <c r="EM53">
        <v>1</v>
      </c>
      <c r="EN53">
        <v>2</v>
      </c>
      <c r="EO53">
        <v>0</v>
      </c>
      <c r="EP53">
        <v>0</v>
      </c>
      <c r="EQ53">
        <v>1</v>
      </c>
      <c r="ER53">
        <v>4</v>
      </c>
      <c r="ES53">
        <v>0</v>
      </c>
      <c r="ET53">
        <v>3</v>
      </c>
      <c r="EU53">
        <v>3</v>
      </c>
      <c r="EV53">
        <v>2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f t="shared" si="3"/>
        <v>31</v>
      </c>
      <c r="FH53">
        <v>3</v>
      </c>
      <c r="FI53">
        <v>3</v>
      </c>
      <c r="FJ53">
        <v>2</v>
      </c>
      <c r="FK53">
        <v>3</v>
      </c>
      <c r="FL53">
        <v>2</v>
      </c>
      <c r="FM53">
        <v>1</v>
      </c>
      <c r="FN53">
        <f t="shared" si="4"/>
        <v>14</v>
      </c>
      <c r="FO53">
        <f t="shared" si="17"/>
        <v>85</v>
      </c>
      <c r="FP53">
        <v>16</v>
      </c>
      <c r="FQ53">
        <v>3</v>
      </c>
      <c r="FR53">
        <v>3</v>
      </c>
      <c r="FS53">
        <v>6</v>
      </c>
      <c r="FT53">
        <v>2</v>
      </c>
      <c r="FU53">
        <v>2</v>
      </c>
      <c r="FV53">
        <v>0</v>
      </c>
      <c r="FW53">
        <v>6</v>
      </c>
      <c r="FX53">
        <f t="shared" si="18"/>
        <v>22</v>
      </c>
      <c r="FY53">
        <v>2</v>
      </c>
      <c r="FZ53">
        <f t="shared" si="6"/>
        <v>4</v>
      </c>
      <c r="GA53">
        <v>1</v>
      </c>
    </row>
    <row r="54" spans="1:183" x14ac:dyDescent="0.2">
      <c r="A54">
        <v>53</v>
      </c>
      <c r="B54">
        <v>1</v>
      </c>
      <c r="C54">
        <v>1</v>
      </c>
      <c r="D54">
        <v>1</v>
      </c>
      <c r="E54" s="2">
        <v>24205</v>
      </c>
      <c r="F54" s="2">
        <v>44567</v>
      </c>
      <c r="G54" s="3">
        <f t="shared" si="0"/>
        <v>55.666666666666664</v>
      </c>
      <c r="H54">
        <v>40</v>
      </c>
      <c r="I54" s="3">
        <f t="shared" si="1"/>
        <v>15.666666666666664</v>
      </c>
      <c r="J54">
        <v>0</v>
      </c>
      <c r="K54">
        <v>0</v>
      </c>
      <c r="L54">
        <v>0</v>
      </c>
      <c r="M54">
        <v>0</v>
      </c>
      <c r="N54">
        <v>1</v>
      </c>
      <c r="O54">
        <v>3</v>
      </c>
      <c r="P54">
        <v>2</v>
      </c>
      <c r="Q54">
        <v>2</v>
      </c>
      <c r="R54">
        <v>1</v>
      </c>
      <c r="S54">
        <v>0</v>
      </c>
      <c r="T54">
        <v>0</v>
      </c>
      <c r="U54">
        <v>0</v>
      </c>
      <c r="V54">
        <v>0</v>
      </c>
      <c r="W54">
        <v>1</v>
      </c>
      <c r="X54">
        <v>2</v>
      </c>
      <c r="Y54">
        <v>2</v>
      </c>
      <c r="Z54">
        <v>6</v>
      </c>
      <c r="AA54">
        <v>2</v>
      </c>
      <c r="AB54">
        <v>6</v>
      </c>
      <c r="AC54">
        <v>0</v>
      </c>
      <c r="AD54">
        <v>6</v>
      </c>
      <c r="AE54">
        <v>0</v>
      </c>
      <c r="AF54">
        <v>0</v>
      </c>
      <c r="AG54">
        <v>0</v>
      </c>
      <c r="AH54">
        <v>0</v>
      </c>
      <c r="AI54">
        <f>AJ54*ledd!$B$2+AK54*ledd!$B$3+AL54*ledd!$B$4+AM54*ledd!$B$5+AN54*ledd!$B$6+AO54*ledd!$B$7+AP54*ledd!$B$8+AQ54*ledd!$B$9+AR54*ledd!$B$10+AS54*ledd!$B$11+AT54*ledd!$B$12+AU54*ledd!$B$13+AV54*ledd!$B$14+AW54*ledd!$B$15+AX54*ledd!$B$16</f>
        <v>570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16</v>
      </c>
      <c r="AP54">
        <v>0</v>
      </c>
      <c r="AQ54">
        <v>0</v>
      </c>
      <c r="AR54">
        <v>0</v>
      </c>
      <c r="AS54">
        <v>1</v>
      </c>
      <c r="AT54">
        <v>150</v>
      </c>
      <c r="AU54">
        <v>0</v>
      </c>
      <c r="AV54">
        <v>0</v>
      </c>
      <c r="AW54">
        <v>0</v>
      </c>
      <c r="AX54">
        <v>0</v>
      </c>
      <c r="AY54">
        <v>3</v>
      </c>
      <c r="AZ54" s="3">
        <v>4</v>
      </c>
      <c r="BA54" s="3">
        <v>3</v>
      </c>
      <c r="BB54" s="3">
        <v>3</v>
      </c>
      <c r="BC54" s="3">
        <v>1</v>
      </c>
      <c r="BD54" s="3">
        <v>1</v>
      </c>
      <c r="BE54" s="3">
        <v>2</v>
      </c>
      <c r="BF54" s="3">
        <v>1</v>
      </c>
      <c r="BG54" s="3">
        <v>0</v>
      </c>
      <c r="BH54" s="3">
        <v>0</v>
      </c>
      <c r="BI54" s="3">
        <v>4</v>
      </c>
      <c r="BJ54" s="3">
        <v>2</v>
      </c>
      <c r="BK54" s="3">
        <v>3</v>
      </c>
      <c r="BL54" s="3">
        <v>1</v>
      </c>
      <c r="BM54" s="3">
        <v>2</v>
      </c>
      <c r="BN54" s="3">
        <v>0</v>
      </c>
      <c r="BO54" s="3">
        <v>0</v>
      </c>
      <c r="BP54" s="3">
        <v>0</v>
      </c>
      <c r="BQ54" s="3">
        <v>2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3</v>
      </c>
      <c r="CA54" s="3">
        <v>0</v>
      </c>
      <c r="CB54" s="3">
        <v>3</v>
      </c>
      <c r="CC54" s="3">
        <v>1</v>
      </c>
      <c r="CD54" s="3">
        <v>1</v>
      </c>
      <c r="CE54" s="3">
        <v>1</v>
      </c>
      <c r="CF54" s="3">
        <v>0</v>
      </c>
      <c r="CG54" s="3">
        <v>3</v>
      </c>
      <c r="CH54" s="3">
        <v>3</v>
      </c>
      <c r="CI54" s="3">
        <v>3</v>
      </c>
      <c r="CJ54" s="3">
        <v>3</v>
      </c>
      <c r="CK54" s="3">
        <v>3</v>
      </c>
      <c r="CL54" s="3">
        <v>0</v>
      </c>
      <c r="CM54" s="3">
        <f t="shared" si="7"/>
        <v>47.5</v>
      </c>
      <c r="CN54" s="3">
        <f t="shared" si="8"/>
        <v>33.333333333333336</v>
      </c>
      <c r="CO54" s="3">
        <f t="shared" si="9"/>
        <v>8.3333333333333339</v>
      </c>
      <c r="CP54" s="3">
        <f t="shared" si="10"/>
        <v>0</v>
      </c>
      <c r="CQ54" s="3">
        <f t="shared" si="11"/>
        <v>50</v>
      </c>
      <c r="CR54" s="3">
        <f t="shared" si="12"/>
        <v>18.75</v>
      </c>
      <c r="CS54">
        <f t="shared" si="13"/>
        <v>75</v>
      </c>
      <c r="CT54">
        <f t="shared" si="14"/>
        <v>50</v>
      </c>
      <c r="CU54">
        <f t="shared" si="15"/>
        <v>35.364583333333336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3</v>
      </c>
      <c r="DF54">
        <v>4</v>
      </c>
      <c r="DG54">
        <v>0</v>
      </c>
      <c r="DH54">
        <v>0</v>
      </c>
      <c r="DI54">
        <v>2</v>
      </c>
      <c r="DJ54">
        <v>0</v>
      </c>
      <c r="DK54">
        <f t="shared" si="2"/>
        <v>9</v>
      </c>
      <c r="DL54">
        <v>2</v>
      </c>
      <c r="DM54">
        <v>4</v>
      </c>
      <c r="DN54">
        <v>2</v>
      </c>
      <c r="DO54">
        <v>1</v>
      </c>
      <c r="DP54">
        <v>2</v>
      </c>
      <c r="DQ54">
        <v>0</v>
      </c>
      <c r="DR54">
        <v>3</v>
      </c>
      <c r="DS54">
        <v>3</v>
      </c>
      <c r="DT54">
        <v>0</v>
      </c>
      <c r="DU54">
        <v>3</v>
      </c>
      <c r="DV54">
        <v>0</v>
      </c>
      <c r="DW54">
        <v>2</v>
      </c>
      <c r="DX54">
        <v>0</v>
      </c>
      <c r="DY54">
        <f t="shared" si="16"/>
        <v>22</v>
      </c>
      <c r="DZ54">
        <v>2</v>
      </c>
      <c r="EA54">
        <v>2</v>
      </c>
      <c r="EB54">
        <v>2</v>
      </c>
      <c r="EC54">
        <v>0</v>
      </c>
      <c r="ED54">
        <v>2</v>
      </c>
      <c r="EE54">
        <v>0</v>
      </c>
      <c r="EF54">
        <v>0</v>
      </c>
      <c r="EG54">
        <v>0</v>
      </c>
      <c r="EH54">
        <v>1</v>
      </c>
      <c r="EI54">
        <v>0</v>
      </c>
      <c r="EJ54">
        <v>1</v>
      </c>
      <c r="EK54">
        <v>0</v>
      </c>
      <c r="EL54">
        <v>0</v>
      </c>
      <c r="EM54">
        <v>0</v>
      </c>
      <c r="EN54">
        <v>2</v>
      </c>
      <c r="EO54">
        <v>0</v>
      </c>
      <c r="EP54">
        <v>2</v>
      </c>
      <c r="EQ54">
        <v>0</v>
      </c>
      <c r="ER54">
        <v>1</v>
      </c>
      <c r="ES54">
        <v>0</v>
      </c>
      <c r="ET54">
        <v>0</v>
      </c>
      <c r="EU54">
        <v>1</v>
      </c>
      <c r="EV54">
        <v>0</v>
      </c>
      <c r="EW54">
        <v>0</v>
      </c>
      <c r="EX54">
        <v>1</v>
      </c>
      <c r="EY54">
        <v>0</v>
      </c>
      <c r="EZ54">
        <v>0</v>
      </c>
      <c r="FA54">
        <v>0</v>
      </c>
      <c r="FB54">
        <v>3</v>
      </c>
      <c r="FC54">
        <v>0</v>
      </c>
      <c r="FD54">
        <v>0</v>
      </c>
      <c r="FE54">
        <v>0</v>
      </c>
      <c r="FF54">
        <v>0</v>
      </c>
      <c r="FG54">
        <f t="shared" si="3"/>
        <v>20</v>
      </c>
      <c r="FH54">
        <v>0</v>
      </c>
      <c r="FI54">
        <v>0</v>
      </c>
      <c r="FJ54">
        <v>1</v>
      </c>
      <c r="FK54">
        <v>2</v>
      </c>
      <c r="FL54">
        <v>0</v>
      </c>
      <c r="FM54">
        <v>0</v>
      </c>
      <c r="FN54">
        <f t="shared" si="4"/>
        <v>3</v>
      </c>
      <c r="FO54">
        <f t="shared" si="17"/>
        <v>54</v>
      </c>
      <c r="FP54">
        <v>2</v>
      </c>
      <c r="FQ54">
        <v>3</v>
      </c>
      <c r="FR54">
        <v>3</v>
      </c>
      <c r="FS54">
        <v>6</v>
      </c>
      <c r="FT54">
        <v>3</v>
      </c>
      <c r="FU54">
        <v>2</v>
      </c>
      <c r="FV54">
        <v>2</v>
      </c>
      <c r="FW54">
        <v>6</v>
      </c>
      <c r="FX54">
        <f t="shared" si="18"/>
        <v>25</v>
      </c>
      <c r="FY54">
        <v>0</v>
      </c>
      <c r="FZ54">
        <f t="shared" si="6"/>
        <v>1</v>
      </c>
      <c r="GA54">
        <v>0</v>
      </c>
    </row>
    <row r="55" spans="1:183" x14ac:dyDescent="0.2">
      <c r="A55">
        <v>54</v>
      </c>
      <c r="B55">
        <v>1</v>
      </c>
      <c r="C55">
        <v>1</v>
      </c>
      <c r="D55">
        <v>0</v>
      </c>
      <c r="E55" s="2">
        <v>16805</v>
      </c>
      <c r="F55" s="2">
        <v>44580</v>
      </c>
      <c r="G55" s="3">
        <f t="shared" si="0"/>
        <v>76</v>
      </c>
      <c r="H55">
        <v>65</v>
      </c>
      <c r="I55" s="3">
        <f t="shared" si="1"/>
        <v>11</v>
      </c>
      <c r="J55">
        <v>11</v>
      </c>
      <c r="K55">
        <v>5</v>
      </c>
      <c r="L55">
        <v>8</v>
      </c>
      <c r="M55">
        <v>0</v>
      </c>
      <c r="N55">
        <v>1</v>
      </c>
      <c r="O55">
        <v>1</v>
      </c>
      <c r="P55">
        <v>1</v>
      </c>
      <c r="Q55">
        <v>4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2</v>
      </c>
      <c r="Y55">
        <v>2</v>
      </c>
      <c r="Z55">
        <v>1</v>
      </c>
      <c r="AA55">
        <v>2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f>AJ55*ledd!$B$2+AK55*ledd!$B$3+AL55*ledd!$B$4+AM55*ledd!$B$5+AN55*ledd!$B$6+AO55*ledd!$B$7+AP55*ledd!$B$8+AQ55*ledd!$B$9+AR55*ledd!$B$10+AS55*ledd!$B$11+AT55*ledd!$B$12+AU55*ledd!$B$13+AV55*ledd!$B$14+AW55*ledd!$B$15+AX55*ledd!$B$16</f>
        <v>661.6</v>
      </c>
      <c r="AJ55">
        <v>400</v>
      </c>
      <c r="AK55">
        <v>100</v>
      </c>
      <c r="AL55">
        <v>20</v>
      </c>
      <c r="AM55">
        <v>0</v>
      </c>
      <c r="AN55">
        <v>0</v>
      </c>
      <c r="AO55">
        <v>0</v>
      </c>
      <c r="AP55">
        <v>6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4</v>
      </c>
      <c r="AZ55" s="3">
        <v>3</v>
      </c>
      <c r="BA55" s="3">
        <v>3</v>
      </c>
      <c r="BB55" s="3">
        <v>2</v>
      </c>
      <c r="BC55" s="3">
        <v>0</v>
      </c>
      <c r="BD55" s="3">
        <v>0</v>
      </c>
      <c r="BE55" s="3">
        <v>3</v>
      </c>
      <c r="BF55" s="3">
        <v>3</v>
      </c>
      <c r="BG55" s="3">
        <v>4</v>
      </c>
      <c r="BH55" s="3">
        <v>4</v>
      </c>
      <c r="BI55" s="3">
        <v>3</v>
      </c>
      <c r="BJ55" s="3">
        <v>4</v>
      </c>
      <c r="BK55" s="3">
        <v>3</v>
      </c>
      <c r="BL55" s="3">
        <v>3</v>
      </c>
      <c r="BM55" s="3">
        <v>3</v>
      </c>
      <c r="BN55" s="3">
        <v>4</v>
      </c>
      <c r="BO55" s="3">
        <v>3</v>
      </c>
      <c r="BP55" s="3">
        <v>1</v>
      </c>
      <c r="BQ55" s="3">
        <v>2</v>
      </c>
      <c r="BR55" s="3">
        <v>3</v>
      </c>
      <c r="BS55" s="3">
        <v>2</v>
      </c>
      <c r="BT55" s="3">
        <v>2</v>
      </c>
      <c r="BU55" s="3">
        <v>3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3</v>
      </c>
      <c r="CD55" s="3">
        <v>0</v>
      </c>
      <c r="CE55" s="3">
        <v>0</v>
      </c>
      <c r="CF55" s="3">
        <v>3</v>
      </c>
      <c r="CG55" s="3">
        <v>1</v>
      </c>
      <c r="CH55" s="3">
        <v>1</v>
      </c>
      <c r="CI55" s="3">
        <v>0</v>
      </c>
      <c r="CJ55" s="3">
        <v>3</v>
      </c>
      <c r="CK55" s="3">
        <v>3</v>
      </c>
      <c r="CL55" s="3">
        <v>2</v>
      </c>
      <c r="CM55" s="3">
        <f t="shared" si="7"/>
        <v>62.5</v>
      </c>
      <c r="CN55" s="3">
        <f t="shared" si="8"/>
        <v>83.333333333333329</v>
      </c>
      <c r="CO55" s="3">
        <f t="shared" si="9"/>
        <v>54.166666666666664</v>
      </c>
      <c r="CP55" s="3">
        <f t="shared" si="10"/>
        <v>0</v>
      </c>
      <c r="CQ55" s="3">
        <f t="shared" si="11"/>
        <v>0</v>
      </c>
      <c r="CR55" s="3">
        <f t="shared" si="12"/>
        <v>37.5</v>
      </c>
      <c r="CS55">
        <f t="shared" si="13"/>
        <v>16.666666666666668</v>
      </c>
      <c r="CT55">
        <f t="shared" si="14"/>
        <v>66.666666666666671</v>
      </c>
      <c r="CU55">
        <f t="shared" si="15"/>
        <v>40.104166666666664</v>
      </c>
      <c r="CV55">
        <v>0</v>
      </c>
      <c r="CW55">
        <v>2</v>
      </c>
      <c r="CX55">
        <v>0</v>
      </c>
      <c r="CY55">
        <v>0</v>
      </c>
      <c r="CZ55">
        <v>0</v>
      </c>
      <c r="DA55">
        <v>4</v>
      </c>
      <c r="DB55">
        <v>0</v>
      </c>
      <c r="DC55">
        <v>4</v>
      </c>
      <c r="DD55">
        <v>3</v>
      </c>
      <c r="DE55">
        <v>3</v>
      </c>
      <c r="DF55">
        <v>3</v>
      </c>
      <c r="DG55">
        <v>2</v>
      </c>
      <c r="DH55">
        <v>2</v>
      </c>
      <c r="DI55">
        <v>3</v>
      </c>
      <c r="DJ55">
        <v>0</v>
      </c>
      <c r="DK55">
        <f t="shared" si="2"/>
        <v>26</v>
      </c>
      <c r="DL55">
        <v>0</v>
      </c>
      <c r="DM55">
        <v>4</v>
      </c>
      <c r="DN55">
        <v>1</v>
      </c>
      <c r="DO55">
        <v>3</v>
      </c>
      <c r="DP55">
        <v>3</v>
      </c>
      <c r="DQ55">
        <v>3</v>
      </c>
      <c r="DR55">
        <v>3</v>
      </c>
      <c r="DS55">
        <v>3</v>
      </c>
      <c r="DT55">
        <v>3</v>
      </c>
      <c r="DU55">
        <v>1</v>
      </c>
      <c r="DV55">
        <v>3</v>
      </c>
      <c r="DW55">
        <v>3</v>
      </c>
      <c r="DX55">
        <v>4</v>
      </c>
      <c r="DY55">
        <f t="shared" si="16"/>
        <v>34</v>
      </c>
      <c r="DZ55">
        <v>0</v>
      </c>
      <c r="EA55">
        <v>1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1</v>
      </c>
      <c r="EH55">
        <v>1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1</v>
      </c>
      <c r="EO55">
        <v>0</v>
      </c>
      <c r="EP55">
        <v>0</v>
      </c>
      <c r="EQ55">
        <v>2</v>
      </c>
      <c r="ER55">
        <v>2</v>
      </c>
      <c r="ES55">
        <v>3</v>
      </c>
      <c r="ET55">
        <v>2</v>
      </c>
      <c r="EU55">
        <v>3</v>
      </c>
      <c r="EV55">
        <v>2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f t="shared" si="3"/>
        <v>18</v>
      </c>
      <c r="FH55">
        <v>2</v>
      </c>
      <c r="FI55">
        <v>3</v>
      </c>
      <c r="FJ55">
        <v>2</v>
      </c>
      <c r="FK55">
        <v>3</v>
      </c>
      <c r="FL55">
        <v>4</v>
      </c>
      <c r="FM55">
        <v>2</v>
      </c>
      <c r="FN55">
        <f t="shared" si="4"/>
        <v>16</v>
      </c>
      <c r="FO55">
        <f t="shared" si="17"/>
        <v>94</v>
      </c>
      <c r="FP55">
        <v>10</v>
      </c>
      <c r="FQ55">
        <v>4</v>
      </c>
      <c r="FR55">
        <v>3</v>
      </c>
      <c r="FS55">
        <v>6</v>
      </c>
      <c r="FT55">
        <v>2</v>
      </c>
      <c r="FU55">
        <v>3</v>
      </c>
      <c r="FV55">
        <v>5</v>
      </c>
      <c r="FW55">
        <v>6</v>
      </c>
      <c r="FX55">
        <f t="shared" si="18"/>
        <v>29</v>
      </c>
      <c r="FY55">
        <v>0</v>
      </c>
      <c r="FZ55">
        <f t="shared" si="6"/>
        <v>3</v>
      </c>
      <c r="GA55">
        <v>0</v>
      </c>
    </row>
    <row r="56" spans="1:183" x14ac:dyDescent="0.2">
      <c r="A56">
        <v>55</v>
      </c>
      <c r="B56">
        <v>1</v>
      </c>
      <c r="C56">
        <v>1</v>
      </c>
      <c r="D56">
        <v>1</v>
      </c>
      <c r="E56" s="2">
        <v>21434</v>
      </c>
      <c r="F56" s="2">
        <v>44594</v>
      </c>
      <c r="G56" s="3">
        <f t="shared" si="0"/>
        <v>63.333333333333336</v>
      </c>
      <c r="H56">
        <v>52</v>
      </c>
      <c r="I56" s="3">
        <f t="shared" si="1"/>
        <v>11.333333333333336</v>
      </c>
      <c r="J56">
        <v>0</v>
      </c>
      <c r="K56">
        <v>1</v>
      </c>
      <c r="L56">
        <v>0</v>
      </c>
      <c r="M56">
        <v>0</v>
      </c>
      <c r="N56">
        <v>2</v>
      </c>
      <c r="O56">
        <v>1</v>
      </c>
      <c r="P56">
        <v>1</v>
      </c>
      <c r="Q56">
        <v>2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2</v>
      </c>
      <c r="Y56">
        <v>2</v>
      </c>
      <c r="Z56">
        <v>0</v>
      </c>
      <c r="AA56">
        <v>2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f>AJ56*ledd!$B$2+AK56*ledd!$B$3+AL56*ledd!$B$4+AM56*ledd!$B$5+AN56*ledd!$B$6+AO56*ledd!$B$7+AP56*ledd!$B$8+AQ56*ledd!$B$9+AR56*ledd!$B$10+AS56*ledd!$B$11+AT56*ledd!$B$12+AU56*ledd!$B$13+AV56*ledd!$B$14+AW56*ledd!$B$15+AX56*ledd!$B$16</f>
        <v>1170</v>
      </c>
      <c r="AJ56">
        <v>600</v>
      </c>
      <c r="AK56">
        <v>0</v>
      </c>
      <c r="AL56">
        <v>1000</v>
      </c>
      <c r="AM56">
        <v>0</v>
      </c>
      <c r="AN56">
        <v>0</v>
      </c>
      <c r="AO56">
        <v>0</v>
      </c>
      <c r="AP56">
        <v>8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3</v>
      </c>
      <c r="AZ56" s="3">
        <v>4</v>
      </c>
      <c r="BA56" s="3">
        <v>3</v>
      </c>
      <c r="BB56" s="3">
        <v>3</v>
      </c>
      <c r="BC56" s="3">
        <v>3</v>
      </c>
      <c r="BD56" s="3">
        <v>3</v>
      </c>
      <c r="BE56" s="3">
        <v>3</v>
      </c>
      <c r="BF56" s="3">
        <v>4</v>
      </c>
      <c r="BG56" s="3">
        <v>4</v>
      </c>
      <c r="BH56" s="3">
        <v>2</v>
      </c>
      <c r="BI56" s="3">
        <v>4</v>
      </c>
      <c r="BJ56" s="3">
        <v>2</v>
      </c>
      <c r="BK56" s="3">
        <v>2</v>
      </c>
      <c r="BL56" s="3">
        <v>2</v>
      </c>
      <c r="BM56" s="3">
        <v>3</v>
      </c>
      <c r="BN56" s="3">
        <v>0</v>
      </c>
      <c r="BO56" s="3">
        <v>0</v>
      </c>
      <c r="BP56" s="3">
        <v>4</v>
      </c>
      <c r="BQ56" s="3">
        <v>3</v>
      </c>
      <c r="BR56" s="3">
        <v>1</v>
      </c>
      <c r="BS56" s="3">
        <v>3</v>
      </c>
      <c r="BT56" s="3">
        <v>3</v>
      </c>
      <c r="BU56" s="3">
        <v>4</v>
      </c>
      <c r="BV56" s="3">
        <v>2</v>
      </c>
      <c r="BW56" s="3">
        <v>4</v>
      </c>
      <c r="BX56" s="3">
        <v>4</v>
      </c>
      <c r="BY56" s="3">
        <v>4</v>
      </c>
      <c r="BZ56" s="3">
        <v>0</v>
      </c>
      <c r="CA56" s="3">
        <v>0</v>
      </c>
      <c r="CB56" s="3">
        <v>0</v>
      </c>
      <c r="CC56" s="3">
        <v>2</v>
      </c>
      <c r="CD56" s="3">
        <v>2</v>
      </c>
      <c r="CE56" s="3">
        <v>4</v>
      </c>
      <c r="CF56" s="3">
        <v>0</v>
      </c>
      <c r="CG56" s="3">
        <v>0</v>
      </c>
      <c r="CH56" s="3">
        <v>0</v>
      </c>
      <c r="CI56" s="3">
        <v>0</v>
      </c>
      <c r="CJ56" s="3">
        <v>3</v>
      </c>
      <c r="CK56" s="3">
        <v>4</v>
      </c>
      <c r="CL56" s="3">
        <v>0</v>
      </c>
      <c r="CM56" s="3">
        <f t="shared" si="7"/>
        <v>82.5</v>
      </c>
      <c r="CN56" s="3">
        <f t="shared" si="8"/>
        <v>37.5</v>
      </c>
      <c r="CO56" s="3">
        <f t="shared" si="9"/>
        <v>75</v>
      </c>
      <c r="CP56" s="3">
        <f t="shared" si="10"/>
        <v>87.5</v>
      </c>
      <c r="CQ56" s="3">
        <f t="shared" si="11"/>
        <v>0</v>
      </c>
      <c r="CR56" s="3">
        <f t="shared" si="12"/>
        <v>50</v>
      </c>
      <c r="CS56">
        <f t="shared" si="13"/>
        <v>0</v>
      </c>
      <c r="CT56">
        <f t="shared" si="14"/>
        <v>58.333333333333336</v>
      </c>
      <c r="CU56">
        <f t="shared" si="15"/>
        <v>48.854166666666664</v>
      </c>
      <c r="CV56">
        <v>3</v>
      </c>
      <c r="CW56">
        <v>0</v>
      </c>
      <c r="CX56">
        <v>3</v>
      </c>
      <c r="CY56">
        <v>3</v>
      </c>
      <c r="CZ56">
        <v>0</v>
      </c>
      <c r="DA56">
        <v>0</v>
      </c>
      <c r="DB56">
        <v>0</v>
      </c>
      <c r="DC56">
        <v>2</v>
      </c>
      <c r="DD56">
        <v>3</v>
      </c>
      <c r="DE56">
        <v>2</v>
      </c>
      <c r="DF56">
        <v>2</v>
      </c>
      <c r="DG56">
        <v>3</v>
      </c>
      <c r="DH56">
        <v>0</v>
      </c>
      <c r="DI56">
        <v>2</v>
      </c>
      <c r="DJ56">
        <v>0</v>
      </c>
      <c r="DK56">
        <f t="shared" si="2"/>
        <v>23</v>
      </c>
      <c r="DL56">
        <v>1</v>
      </c>
      <c r="DM56">
        <v>0</v>
      </c>
      <c r="DN56">
        <v>2</v>
      </c>
      <c r="DO56">
        <v>0</v>
      </c>
      <c r="DP56">
        <v>1</v>
      </c>
      <c r="DQ56">
        <v>3</v>
      </c>
      <c r="DR56">
        <v>3</v>
      </c>
      <c r="DS56">
        <v>3</v>
      </c>
      <c r="DT56">
        <v>2</v>
      </c>
      <c r="DU56">
        <v>0</v>
      </c>
      <c r="DV56">
        <v>2</v>
      </c>
      <c r="DW56">
        <v>3</v>
      </c>
      <c r="DX56">
        <v>4</v>
      </c>
      <c r="DY56">
        <f t="shared" si="16"/>
        <v>24</v>
      </c>
      <c r="DZ56">
        <v>1</v>
      </c>
      <c r="EA56">
        <v>2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2</v>
      </c>
      <c r="EI56">
        <v>0</v>
      </c>
      <c r="EJ56">
        <v>0</v>
      </c>
      <c r="EK56">
        <v>0</v>
      </c>
      <c r="EL56">
        <v>1</v>
      </c>
      <c r="EM56">
        <v>0</v>
      </c>
      <c r="EN56">
        <v>1</v>
      </c>
      <c r="EO56">
        <v>0</v>
      </c>
      <c r="EP56">
        <v>0</v>
      </c>
      <c r="EQ56">
        <v>0</v>
      </c>
      <c r="ER56">
        <v>1</v>
      </c>
      <c r="ES56">
        <v>1</v>
      </c>
      <c r="ET56">
        <v>0</v>
      </c>
      <c r="EU56">
        <v>1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f t="shared" ref="FG56:FG57" si="21">SUM(DZ56:FF56)</f>
        <v>10</v>
      </c>
      <c r="FH56">
        <v>0</v>
      </c>
      <c r="FI56">
        <v>0</v>
      </c>
      <c r="FJ56">
        <v>3</v>
      </c>
      <c r="FK56">
        <v>4</v>
      </c>
      <c r="FL56">
        <v>0</v>
      </c>
      <c r="FM56">
        <v>3</v>
      </c>
      <c r="FN56">
        <f t="shared" si="4"/>
        <v>10</v>
      </c>
      <c r="FO56">
        <f t="shared" si="17"/>
        <v>67</v>
      </c>
      <c r="FP56">
        <v>9</v>
      </c>
      <c r="FQ56">
        <v>5</v>
      </c>
      <c r="FR56">
        <v>3</v>
      </c>
      <c r="FS56">
        <v>5</v>
      </c>
      <c r="FT56">
        <v>0</v>
      </c>
      <c r="FU56">
        <v>1</v>
      </c>
      <c r="FV56">
        <v>0</v>
      </c>
      <c r="FW56">
        <v>6</v>
      </c>
      <c r="FX56">
        <f t="shared" si="18"/>
        <v>20</v>
      </c>
      <c r="FY56">
        <v>0</v>
      </c>
      <c r="FZ56">
        <f t="shared" si="6"/>
        <v>2</v>
      </c>
      <c r="GA56">
        <v>1</v>
      </c>
    </row>
    <row r="57" spans="1:183" x14ac:dyDescent="0.2">
      <c r="A57">
        <v>56</v>
      </c>
      <c r="B57">
        <v>1</v>
      </c>
      <c r="C57">
        <v>1</v>
      </c>
      <c r="D57">
        <v>1</v>
      </c>
      <c r="E57" s="2">
        <v>21602</v>
      </c>
      <c r="F57" s="2">
        <v>44594</v>
      </c>
      <c r="G57" s="3">
        <f t="shared" si="0"/>
        <v>62.916666666666664</v>
      </c>
      <c r="H57">
        <v>55</v>
      </c>
      <c r="I57" s="3">
        <f t="shared" si="1"/>
        <v>7.9166666666666643</v>
      </c>
      <c r="J57">
        <v>0</v>
      </c>
      <c r="K57">
        <v>3</v>
      </c>
      <c r="L57">
        <v>8</v>
      </c>
      <c r="M57">
        <v>0</v>
      </c>
      <c r="N57">
        <v>1</v>
      </c>
      <c r="O57">
        <v>0</v>
      </c>
      <c r="P57">
        <v>1</v>
      </c>
      <c r="Q57">
        <v>4</v>
      </c>
      <c r="R57">
        <v>0</v>
      </c>
      <c r="S57">
        <v>0</v>
      </c>
      <c r="T57">
        <v>0</v>
      </c>
      <c r="U57">
        <v>0</v>
      </c>
      <c r="V57">
        <v>1</v>
      </c>
      <c r="W57">
        <v>1</v>
      </c>
      <c r="X57">
        <v>2</v>
      </c>
      <c r="Y57">
        <v>1</v>
      </c>
      <c r="Z57">
        <v>6</v>
      </c>
      <c r="AA57">
        <v>1</v>
      </c>
      <c r="AB57">
        <v>6</v>
      </c>
      <c r="AC57" s="5">
        <v>6</v>
      </c>
      <c r="AD57">
        <v>6</v>
      </c>
      <c r="AE57">
        <v>1</v>
      </c>
      <c r="AF57">
        <v>0</v>
      </c>
      <c r="AG57">
        <v>0</v>
      </c>
      <c r="AH57">
        <v>0</v>
      </c>
      <c r="AI57">
        <f>AJ57*ledd!$B$2+AK57*ledd!$B$3+AL57*ledd!$B$4+AM57*ledd!$B$5+AN57*ledd!$B$6+AO57*ledd!$B$7+AP57*ledd!$B$8+AQ57*ledd!$B$9+AR57*ledd!$B$10+AS57*ledd!$B$11+AT57*ledd!$B$12+AU57*ledd!$B$13+AV57*ledd!$B$14+AW57*ledd!$B$15+AX57*ledd!$B$16</f>
        <v>26</v>
      </c>
      <c r="AJ57">
        <v>0</v>
      </c>
      <c r="AK57">
        <v>0</v>
      </c>
      <c r="AL57">
        <v>0</v>
      </c>
      <c r="AM57">
        <v>0</v>
      </c>
      <c r="AN57">
        <v>0.26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2</v>
      </c>
      <c r="AZ57" s="3">
        <v>1</v>
      </c>
      <c r="BA57" s="3">
        <v>1</v>
      </c>
      <c r="BB57" s="3">
        <v>3</v>
      </c>
      <c r="BC57" s="3">
        <v>3</v>
      </c>
      <c r="BD57" s="3">
        <v>3</v>
      </c>
      <c r="BE57" s="3">
        <v>1</v>
      </c>
      <c r="BF57" s="3">
        <v>3</v>
      </c>
      <c r="BG57" s="3">
        <v>0</v>
      </c>
      <c r="BH57" s="3">
        <v>1</v>
      </c>
      <c r="BI57" s="3">
        <v>3</v>
      </c>
      <c r="BJ57" s="3">
        <v>0</v>
      </c>
      <c r="BK57" s="3">
        <v>0</v>
      </c>
      <c r="BL57" s="3">
        <v>0</v>
      </c>
      <c r="BM57" s="3">
        <v>2</v>
      </c>
      <c r="BN57" s="3">
        <v>0</v>
      </c>
      <c r="BO57" s="3">
        <v>1</v>
      </c>
      <c r="BP57" s="3">
        <v>1</v>
      </c>
      <c r="BQ57" s="3">
        <v>1</v>
      </c>
      <c r="BR57" s="3">
        <v>1</v>
      </c>
      <c r="BS57" s="3">
        <v>1</v>
      </c>
      <c r="BT57" s="3">
        <v>1</v>
      </c>
      <c r="BU57" s="3">
        <v>1</v>
      </c>
      <c r="BV57" s="3">
        <v>3</v>
      </c>
      <c r="BW57" s="3">
        <v>3</v>
      </c>
      <c r="BX57" s="3">
        <v>1</v>
      </c>
      <c r="BY57" s="3">
        <v>2</v>
      </c>
      <c r="BZ57" s="3">
        <v>1</v>
      </c>
      <c r="CA57" s="3">
        <v>1</v>
      </c>
      <c r="CB57" s="3">
        <v>1</v>
      </c>
      <c r="CC57" s="3">
        <v>0</v>
      </c>
      <c r="CD57" s="3">
        <v>1</v>
      </c>
      <c r="CE57" s="3">
        <v>1</v>
      </c>
      <c r="CF57" s="3">
        <v>0</v>
      </c>
      <c r="CG57" s="3">
        <v>2</v>
      </c>
      <c r="CH57" s="3">
        <v>2</v>
      </c>
      <c r="CI57" s="3">
        <v>1</v>
      </c>
      <c r="CJ57" s="3">
        <v>1</v>
      </c>
      <c r="CK57" s="3">
        <v>3</v>
      </c>
      <c r="CL57" s="3">
        <v>0</v>
      </c>
      <c r="CM57" s="3">
        <f t="shared" si="7"/>
        <v>47.5</v>
      </c>
      <c r="CN57" s="3">
        <f t="shared" si="8"/>
        <v>12.5</v>
      </c>
      <c r="CO57" s="3">
        <f t="shared" si="9"/>
        <v>25</v>
      </c>
      <c r="CP57" s="3">
        <f t="shared" si="10"/>
        <v>56.25</v>
      </c>
      <c r="CQ57" s="3">
        <f t="shared" si="11"/>
        <v>25</v>
      </c>
      <c r="CR57" s="3">
        <f t="shared" si="12"/>
        <v>12.5</v>
      </c>
      <c r="CS57">
        <f t="shared" si="13"/>
        <v>41.666666666666664</v>
      </c>
      <c r="CT57">
        <f t="shared" si="14"/>
        <v>33.333333333333336</v>
      </c>
      <c r="CU57">
        <f t="shared" si="15"/>
        <v>31.71875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1</v>
      </c>
      <c r="DD57">
        <v>2</v>
      </c>
      <c r="DE57">
        <v>2</v>
      </c>
      <c r="DF57">
        <v>1</v>
      </c>
      <c r="DG57">
        <v>0</v>
      </c>
      <c r="DH57">
        <v>1</v>
      </c>
      <c r="DI57">
        <v>1</v>
      </c>
      <c r="DJ57">
        <v>0</v>
      </c>
      <c r="DK57">
        <f t="shared" si="2"/>
        <v>8</v>
      </c>
      <c r="DL57">
        <v>2</v>
      </c>
      <c r="DM57">
        <v>0</v>
      </c>
      <c r="DN57">
        <v>0</v>
      </c>
      <c r="DO57">
        <v>1</v>
      </c>
      <c r="DP57">
        <v>1</v>
      </c>
      <c r="DQ57">
        <v>1</v>
      </c>
      <c r="DR57">
        <v>2</v>
      </c>
      <c r="DS57">
        <v>1</v>
      </c>
      <c r="DT57">
        <v>0</v>
      </c>
      <c r="DU57">
        <v>1</v>
      </c>
      <c r="DV57">
        <v>1</v>
      </c>
      <c r="DW57">
        <v>1</v>
      </c>
      <c r="DX57">
        <v>1</v>
      </c>
      <c r="DY57">
        <f t="shared" si="16"/>
        <v>12</v>
      </c>
      <c r="DZ57">
        <v>1</v>
      </c>
      <c r="EA57">
        <v>1</v>
      </c>
      <c r="EB57">
        <v>0</v>
      </c>
      <c r="EC57">
        <v>1</v>
      </c>
      <c r="ED57">
        <v>0</v>
      </c>
      <c r="EE57">
        <v>0</v>
      </c>
      <c r="EF57">
        <v>1</v>
      </c>
      <c r="EG57">
        <v>0</v>
      </c>
      <c r="EH57">
        <v>1</v>
      </c>
      <c r="EI57">
        <v>0</v>
      </c>
      <c r="EJ57">
        <v>1</v>
      </c>
      <c r="EK57">
        <v>1</v>
      </c>
      <c r="EL57">
        <v>2</v>
      </c>
      <c r="EM57">
        <v>1</v>
      </c>
      <c r="EN57">
        <v>1</v>
      </c>
      <c r="EO57">
        <v>0</v>
      </c>
      <c r="EP57">
        <v>0</v>
      </c>
      <c r="EQ57">
        <v>0</v>
      </c>
      <c r="ER57">
        <v>1</v>
      </c>
      <c r="ES57">
        <v>0</v>
      </c>
      <c r="ET57">
        <v>0</v>
      </c>
      <c r="EU57">
        <v>0</v>
      </c>
      <c r="EV57">
        <v>1</v>
      </c>
      <c r="EW57">
        <v>1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f t="shared" si="21"/>
        <v>14</v>
      </c>
      <c r="FH57">
        <v>0</v>
      </c>
      <c r="FI57">
        <v>0</v>
      </c>
      <c r="FJ57">
        <v>1</v>
      </c>
      <c r="FK57">
        <v>1</v>
      </c>
      <c r="FL57">
        <v>0</v>
      </c>
      <c r="FM57">
        <v>0</v>
      </c>
      <c r="FN57">
        <f t="shared" si="4"/>
        <v>2</v>
      </c>
      <c r="FO57">
        <f t="shared" si="17"/>
        <v>36</v>
      </c>
      <c r="FP57">
        <v>6</v>
      </c>
      <c r="FQ57">
        <v>5</v>
      </c>
      <c r="FR57">
        <v>3</v>
      </c>
      <c r="FS57">
        <v>6</v>
      </c>
      <c r="FT57">
        <v>3</v>
      </c>
      <c r="FU57">
        <v>2</v>
      </c>
      <c r="FV57">
        <v>5</v>
      </c>
      <c r="FW57">
        <v>6</v>
      </c>
      <c r="FX57">
        <f t="shared" si="18"/>
        <v>30</v>
      </c>
      <c r="FY57">
        <v>0</v>
      </c>
      <c r="FZ57">
        <f t="shared" si="6"/>
        <v>2</v>
      </c>
      <c r="GA57">
        <v>1</v>
      </c>
    </row>
    <row r="58" spans="1:183" x14ac:dyDescent="0.2">
      <c r="A58">
        <v>57</v>
      </c>
      <c r="B58">
        <v>1</v>
      </c>
      <c r="C58">
        <v>1</v>
      </c>
      <c r="D58">
        <v>1</v>
      </c>
      <c r="E58" s="2">
        <v>25266</v>
      </c>
      <c r="F58" s="2">
        <v>44601</v>
      </c>
      <c r="G58" s="3">
        <f t="shared" si="0"/>
        <v>52.916666666666664</v>
      </c>
      <c r="H58">
        <v>45</v>
      </c>
      <c r="I58" s="3">
        <f t="shared" si="1"/>
        <v>7.9166666666666643</v>
      </c>
      <c r="J58">
        <v>0</v>
      </c>
      <c r="K58">
        <v>1</v>
      </c>
      <c r="L58">
        <v>0</v>
      </c>
      <c r="M58">
        <v>0</v>
      </c>
      <c r="N58">
        <v>4</v>
      </c>
      <c r="O58">
        <v>0</v>
      </c>
      <c r="P58">
        <v>2</v>
      </c>
      <c r="Q58">
        <v>4</v>
      </c>
      <c r="R58">
        <v>3</v>
      </c>
      <c r="S58">
        <v>0</v>
      </c>
      <c r="T58">
        <v>0</v>
      </c>
      <c r="U58">
        <v>0</v>
      </c>
      <c r="V58">
        <v>1</v>
      </c>
      <c r="W58">
        <v>1</v>
      </c>
      <c r="X58">
        <v>0</v>
      </c>
      <c r="Y58">
        <v>0</v>
      </c>
      <c r="AA58">
        <v>0</v>
      </c>
      <c r="AC58">
        <v>6</v>
      </c>
      <c r="AD58">
        <v>6</v>
      </c>
      <c r="AE58">
        <v>1</v>
      </c>
      <c r="AF58">
        <v>0</v>
      </c>
      <c r="AG58">
        <v>0</v>
      </c>
      <c r="AH58">
        <v>0</v>
      </c>
      <c r="AI58">
        <f>AJ58*ledd!$B$2+AK58*ledd!$B$3+AL58*ledd!$B$4+AM58*ledd!$B$5+AN58*ledd!$B$6+AO58*ledd!$B$7+AP58*ledd!$B$8+AQ58*ledd!$B$9+AR58*ledd!$B$10+AS58*ledd!$B$11+AT58*ledd!$B$12+AU58*ledd!$B$13+AV58*ledd!$B$14+AW58*ledd!$B$15+AX58*ledd!$B$16</f>
        <v>525</v>
      </c>
      <c r="AJ58">
        <v>225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150</v>
      </c>
      <c r="AU58">
        <v>0</v>
      </c>
      <c r="AV58">
        <v>150</v>
      </c>
      <c r="AW58">
        <v>0</v>
      </c>
      <c r="AX58">
        <v>0</v>
      </c>
      <c r="AY58">
        <v>2</v>
      </c>
      <c r="AZ58" s="3">
        <v>1</v>
      </c>
      <c r="BA58" s="3">
        <v>1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2</v>
      </c>
      <c r="BK58" s="3">
        <v>3</v>
      </c>
      <c r="BL58" s="3">
        <v>3</v>
      </c>
      <c r="BM58" s="3">
        <v>4</v>
      </c>
      <c r="BN58" s="3">
        <v>2</v>
      </c>
      <c r="BO58" s="3">
        <v>0</v>
      </c>
      <c r="BP58" s="3">
        <v>0</v>
      </c>
      <c r="BQ58" s="3">
        <v>0</v>
      </c>
      <c r="BR58" s="3">
        <v>2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2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f t="shared" si="7"/>
        <v>5</v>
      </c>
      <c r="CN58" s="3">
        <f t="shared" si="8"/>
        <v>58.333333333333336</v>
      </c>
      <c r="CO58" s="3">
        <f t="shared" si="9"/>
        <v>8.3333333333333339</v>
      </c>
      <c r="CP58" s="3">
        <f t="shared" si="10"/>
        <v>0</v>
      </c>
      <c r="CQ58" s="3">
        <f t="shared" si="11"/>
        <v>0</v>
      </c>
      <c r="CR58" s="3">
        <f t="shared" si="12"/>
        <v>0</v>
      </c>
      <c r="CS58">
        <f t="shared" si="13"/>
        <v>16.666666666666668</v>
      </c>
      <c r="CT58">
        <f t="shared" si="14"/>
        <v>0</v>
      </c>
      <c r="CU58">
        <f t="shared" si="15"/>
        <v>11.041666666666668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f t="shared" si="2"/>
        <v>0</v>
      </c>
      <c r="DL58">
        <v>1</v>
      </c>
      <c r="DM58">
        <v>2</v>
      </c>
      <c r="DN58">
        <v>0</v>
      </c>
      <c r="DO58">
        <v>3</v>
      </c>
      <c r="DP58">
        <v>1</v>
      </c>
      <c r="DQ58">
        <v>1</v>
      </c>
      <c r="DR58">
        <v>3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4</v>
      </c>
      <c r="DY58">
        <f t="shared" si="16"/>
        <v>15</v>
      </c>
      <c r="DZ58">
        <v>1</v>
      </c>
      <c r="EA58">
        <v>3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3</v>
      </c>
      <c r="EH58">
        <v>4</v>
      </c>
      <c r="EI58">
        <v>2</v>
      </c>
      <c r="EJ58">
        <v>3</v>
      </c>
      <c r="EK58">
        <v>3</v>
      </c>
      <c r="EL58">
        <v>4</v>
      </c>
      <c r="EM58">
        <v>1</v>
      </c>
      <c r="EN58">
        <v>2</v>
      </c>
      <c r="EO58">
        <v>2</v>
      </c>
      <c r="EP58">
        <v>2</v>
      </c>
      <c r="EQ58">
        <v>0</v>
      </c>
      <c r="ER58">
        <v>2</v>
      </c>
      <c r="ES58">
        <v>0</v>
      </c>
      <c r="ET58">
        <v>2</v>
      </c>
      <c r="EU58">
        <v>2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f t="shared" si="3"/>
        <v>36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f t="shared" si="4"/>
        <v>0</v>
      </c>
      <c r="FO58">
        <f t="shared" si="17"/>
        <v>51</v>
      </c>
      <c r="FP58">
        <v>3</v>
      </c>
      <c r="FQ58">
        <v>5</v>
      </c>
      <c r="FR58">
        <v>3</v>
      </c>
      <c r="FS58">
        <v>6</v>
      </c>
      <c r="FT58">
        <v>3</v>
      </c>
      <c r="FU58">
        <v>2</v>
      </c>
      <c r="FV58">
        <v>0</v>
      </c>
      <c r="FW58">
        <v>6</v>
      </c>
      <c r="FX58">
        <f t="shared" si="18"/>
        <v>25</v>
      </c>
      <c r="FY58">
        <v>0</v>
      </c>
      <c r="FZ58">
        <f t="shared" si="6"/>
        <v>1</v>
      </c>
      <c r="GA58">
        <v>0</v>
      </c>
    </row>
    <row r="59" spans="1:183" x14ac:dyDescent="0.2">
      <c r="A59">
        <v>58</v>
      </c>
      <c r="B59">
        <v>1</v>
      </c>
      <c r="C59">
        <v>1</v>
      </c>
      <c r="D59">
        <v>1</v>
      </c>
      <c r="E59" s="2">
        <v>19394</v>
      </c>
      <c r="F59" s="2">
        <v>44603</v>
      </c>
      <c r="G59" s="3">
        <f t="shared" si="0"/>
        <v>69</v>
      </c>
      <c r="H59">
        <v>66</v>
      </c>
      <c r="I59" s="3">
        <f t="shared" si="1"/>
        <v>3</v>
      </c>
      <c r="J59">
        <v>0</v>
      </c>
      <c r="K59">
        <v>1</v>
      </c>
      <c r="L59">
        <v>0</v>
      </c>
      <c r="M59">
        <v>0</v>
      </c>
      <c r="N59">
        <v>2</v>
      </c>
      <c r="O59">
        <v>1</v>
      </c>
      <c r="P59">
        <v>2</v>
      </c>
      <c r="Q59">
        <v>1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1</v>
      </c>
      <c r="Z59">
        <v>0</v>
      </c>
      <c r="AA59">
        <v>1</v>
      </c>
      <c r="AB59">
        <v>0</v>
      </c>
      <c r="AC59">
        <v>0</v>
      </c>
      <c r="AD59">
        <v>6</v>
      </c>
      <c r="AE59">
        <v>0</v>
      </c>
      <c r="AF59">
        <v>0</v>
      </c>
      <c r="AG59">
        <v>0</v>
      </c>
      <c r="AH59">
        <v>0</v>
      </c>
      <c r="AI59">
        <f>AJ59*ledd!$B$2+AK59*ledd!$B$3+AL59*ledd!$B$4+AM59*ledd!$B$5+AN59*ledd!$B$6+AO59*ledd!$B$7+AP59*ledd!$B$8+AQ59*ledd!$B$9+AR59*ledd!$B$10+AS59*ledd!$B$11+AT59*ledd!$B$12+AU59*ledd!$B$13+AV59*ledd!$B$14+AW59*ledd!$B$15+AX59*ledd!$B$16</f>
        <v>300</v>
      </c>
      <c r="AJ59">
        <v>300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3</v>
      </c>
      <c r="AZ59" s="3">
        <v>3</v>
      </c>
      <c r="BA59" s="3">
        <v>1</v>
      </c>
      <c r="BB59" s="3">
        <v>1</v>
      </c>
      <c r="BC59" s="3">
        <v>1</v>
      </c>
      <c r="BD59" s="3">
        <v>0</v>
      </c>
      <c r="BE59" s="3">
        <v>0</v>
      </c>
      <c r="BF59" s="3">
        <v>1</v>
      </c>
      <c r="BG59" s="3">
        <v>0</v>
      </c>
      <c r="BH59" s="3">
        <v>3</v>
      </c>
      <c r="BI59" s="3">
        <v>2</v>
      </c>
      <c r="BJ59" s="3">
        <v>0</v>
      </c>
      <c r="BK59" s="3">
        <v>0</v>
      </c>
      <c r="BL59" s="3">
        <v>1</v>
      </c>
      <c r="BM59" s="3">
        <v>1</v>
      </c>
      <c r="BN59" s="3">
        <v>0</v>
      </c>
      <c r="BO59" s="3">
        <v>0</v>
      </c>
      <c r="BP59" s="3">
        <v>1</v>
      </c>
      <c r="BQ59" s="3">
        <v>0</v>
      </c>
      <c r="BR59" s="3">
        <v>0</v>
      </c>
      <c r="BS59" s="3">
        <v>0</v>
      </c>
      <c r="BT59" s="3">
        <v>1</v>
      </c>
      <c r="BU59" s="3">
        <v>1</v>
      </c>
      <c r="BV59" s="3">
        <v>0</v>
      </c>
      <c r="BW59" s="3">
        <v>1</v>
      </c>
      <c r="BX59" s="3">
        <v>0</v>
      </c>
      <c r="BY59" s="3">
        <v>0</v>
      </c>
      <c r="BZ59" s="3">
        <v>1</v>
      </c>
      <c r="CA59" s="3">
        <v>0</v>
      </c>
      <c r="CB59" s="3">
        <v>0</v>
      </c>
      <c r="CC59" s="3">
        <v>2</v>
      </c>
      <c r="CD59" s="3">
        <v>2</v>
      </c>
      <c r="CE59" s="3">
        <v>2</v>
      </c>
      <c r="CF59" s="3">
        <v>3</v>
      </c>
      <c r="CG59" s="3">
        <v>2</v>
      </c>
      <c r="CH59" s="3">
        <v>1</v>
      </c>
      <c r="CI59" s="3">
        <v>0</v>
      </c>
      <c r="CJ59" s="3">
        <v>1</v>
      </c>
      <c r="CK59" s="3">
        <v>3</v>
      </c>
      <c r="CL59" s="3">
        <v>1</v>
      </c>
      <c r="CM59" s="3">
        <f t="shared" si="7"/>
        <v>30</v>
      </c>
      <c r="CN59" s="3">
        <f t="shared" si="8"/>
        <v>8.3333333333333339</v>
      </c>
      <c r="CO59" s="3">
        <f t="shared" si="9"/>
        <v>12.5</v>
      </c>
      <c r="CP59" s="3">
        <f t="shared" si="10"/>
        <v>6.25</v>
      </c>
      <c r="CQ59" s="3">
        <f t="shared" si="11"/>
        <v>8.3333333333333339</v>
      </c>
      <c r="CR59" s="3">
        <f t="shared" si="12"/>
        <v>56.25</v>
      </c>
      <c r="CS59">
        <f t="shared" si="13"/>
        <v>25</v>
      </c>
      <c r="CT59">
        <f t="shared" si="14"/>
        <v>41.666666666666664</v>
      </c>
      <c r="CU59">
        <f t="shared" si="15"/>
        <v>23.541666666666668</v>
      </c>
      <c r="CV59">
        <v>2</v>
      </c>
      <c r="CW59">
        <v>2</v>
      </c>
      <c r="CX59">
        <v>1</v>
      </c>
      <c r="CY59">
        <v>0</v>
      </c>
      <c r="CZ59">
        <v>2</v>
      </c>
      <c r="DA59">
        <v>0</v>
      </c>
      <c r="DB59">
        <v>0</v>
      </c>
      <c r="DC59">
        <v>0</v>
      </c>
      <c r="DD59">
        <v>1</v>
      </c>
      <c r="DE59">
        <v>2</v>
      </c>
      <c r="DF59">
        <v>2</v>
      </c>
      <c r="DG59">
        <v>0</v>
      </c>
      <c r="DH59">
        <v>3</v>
      </c>
      <c r="DI59">
        <v>2</v>
      </c>
      <c r="DJ59">
        <v>0</v>
      </c>
      <c r="DK59">
        <f t="shared" si="2"/>
        <v>17</v>
      </c>
      <c r="DL59">
        <v>0</v>
      </c>
      <c r="DM59">
        <v>2</v>
      </c>
      <c r="DN59">
        <v>0</v>
      </c>
      <c r="DO59">
        <v>0</v>
      </c>
      <c r="DP59">
        <v>0</v>
      </c>
      <c r="DQ59">
        <v>0</v>
      </c>
      <c r="DR59">
        <v>1</v>
      </c>
      <c r="DS59">
        <v>2</v>
      </c>
      <c r="DT59">
        <v>0</v>
      </c>
      <c r="DU59">
        <v>2</v>
      </c>
      <c r="DV59">
        <v>2</v>
      </c>
      <c r="DW59">
        <v>3</v>
      </c>
      <c r="DX59">
        <v>0</v>
      </c>
      <c r="DY59">
        <f t="shared" si="16"/>
        <v>12</v>
      </c>
      <c r="DZ59">
        <v>0</v>
      </c>
      <c r="EA59">
        <v>2</v>
      </c>
      <c r="EB59">
        <v>0</v>
      </c>
      <c r="EC59">
        <v>1</v>
      </c>
      <c r="ED59">
        <v>1</v>
      </c>
      <c r="EE59">
        <v>1</v>
      </c>
      <c r="EF59">
        <v>1</v>
      </c>
      <c r="EG59">
        <v>0</v>
      </c>
      <c r="EH59">
        <v>1</v>
      </c>
      <c r="EI59">
        <v>0</v>
      </c>
      <c r="EJ59">
        <v>0</v>
      </c>
      <c r="EK59">
        <v>0</v>
      </c>
      <c r="EL59">
        <v>1</v>
      </c>
      <c r="EM59">
        <v>1</v>
      </c>
      <c r="EN59">
        <v>1</v>
      </c>
      <c r="EO59">
        <v>1</v>
      </c>
      <c r="EP59">
        <v>2</v>
      </c>
      <c r="EQ59">
        <v>1</v>
      </c>
      <c r="ER59">
        <v>1</v>
      </c>
      <c r="ES59">
        <v>1</v>
      </c>
      <c r="ET59">
        <v>2</v>
      </c>
      <c r="EU59">
        <v>0</v>
      </c>
      <c r="EV59">
        <v>1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f t="shared" si="3"/>
        <v>19</v>
      </c>
      <c r="FH59">
        <v>2</v>
      </c>
      <c r="FI59">
        <v>0</v>
      </c>
      <c r="FJ59">
        <v>0</v>
      </c>
      <c r="FK59">
        <v>0</v>
      </c>
      <c r="FL59">
        <v>0</v>
      </c>
      <c r="FM59">
        <v>0</v>
      </c>
      <c r="FN59">
        <f t="shared" si="4"/>
        <v>2</v>
      </c>
      <c r="FO59">
        <f t="shared" si="17"/>
        <v>50</v>
      </c>
      <c r="FP59">
        <v>8</v>
      </c>
      <c r="FQ59">
        <v>5</v>
      </c>
      <c r="FR59">
        <v>3</v>
      </c>
      <c r="FS59">
        <v>6</v>
      </c>
      <c r="FT59">
        <v>1</v>
      </c>
      <c r="FU59">
        <v>1</v>
      </c>
      <c r="FV59">
        <v>2</v>
      </c>
      <c r="FW59">
        <v>6</v>
      </c>
      <c r="FX59">
        <f t="shared" si="18"/>
        <v>24</v>
      </c>
      <c r="FY59">
        <v>1</v>
      </c>
      <c r="FZ59">
        <f t="shared" si="6"/>
        <v>3</v>
      </c>
      <c r="GA59">
        <v>0</v>
      </c>
    </row>
    <row r="60" spans="1:183" x14ac:dyDescent="0.2">
      <c r="A60">
        <v>59</v>
      </c>
      <c r="B60">
        <v>1</v>
      </c>
      <c r="C60">
        <v>1</v>
      </c>
      <c r="D60">
        <v>1</v>
      </c>
      <c r="E60" s="2">
        <v>23029</v>
      </c>
      <c r="F60" s="2">
        <v>44607</v>
      </c>
      <c r="G60" s="3">
        <f t="shared" si="0"/>
        <v>59</v>
      </c>
      <c r="H60">
        <v>46</v>
      </c>
      <c r="I60" s="3">
        <f t="shared" si="1"/>
        <v>13</v>
      </c>
      <c r="J60">
        <v>0</v>
      </c>
      <c r="K60">
        <v>1</v>
      </c>
      <c r="L60">
        <v>0</v>
      </c>
      <c r="M60">
        <v>0</v>
      </c>
      <c r="N60">
        <v>2</v>
      </c>
      <c r="O60">
        <v>0</v>
      </c>
      <c r="P60">
        <v>2</v>
      </c>
      <c r="Q60">
        <v>2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0</v>
      </c>
      <c r="Y60">
        <v>1</v>
      </c>
      <c r="Z60">
        <v>0</v>
      </c>
      <c r="AA60">
        <v>0</v>
      </c>
      <c r="AC60">
        <v>1</v>
      </c>
      <c r="AD60">
        <v>6</v>
      </c>
      <c r="AE60">
        <v>0</v>
      </c>
      <c r="AF60">
        <v>0</v>
      </c>
      <c r="AG60">
        <v>0</v>
      </c>
      <c r="AH60">
        <v>0</v>
      </c>
      <c r="AI60">
        <f>AJ60*ledd!$B$2+AK60*ledd!$B$3+AL60*ledd!$B$4+AM60*ledd!$B$5+AN60*ledd!$B$6+AO60*ledd!$B$7+AP60*ledd!$B$8+AQ60*ledd!$B$9+AR60*ledd!$B$10+AS60*ledd!$B$11+AT60*ledd!$B$12+AU60*ledd!$B$13+AV60*ledd!$B$14+AW60*ledd!$B$15+AX60*ledd!$B$16</f>
        <v>460</v>
      </c>
      <c r="AJ60">
        <v>150</v>
      </c>
      <c r="AK60">
        <v>0</v>
      </c>
      <c r="AL60">
        <v>0</v>
      </c>
      <c r="AM60">
        <v>0</v>
      </c>
      <c r="AN60">
        <v>2.1</v>
      </c>
      <c r="AO60">
        <v>0</v>
      </c>
      <c r="AP60">
        <v>0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2</v>
      </c>
      <c r="AZ60" s="3">
        <v>2</v>
      </c>
      <c r="BA60" s="3">
        <v>2</v>
      </c>
      <c r="BB60" s="3">
        <v>1</v>
      </c>
      <c r="BC60" s="3">
        <v>2</v>
      </c>
      <c r="BD60" s="3">
        <v>1</v>
      </c>
      <c r="BE60" s="3">
        <v>1</v>
      </c>
      <c r="BF60" s="3">
        <v>2</v>
      </c>
      <c r="BG60" s="3">
        <v>1</v>
      </c>
      <c r="BH60" s="3">
        <v>3</v>
      </c>
      <c r="BI60" s="3">
        <v>1</v>
      </c>
      <c r="BJ60" s="3">
        <v>0</v>
      </c>
      <c r="BK60" s="3">
        <v>0</v>
      </c>
      <c r="BL60" s="3">
        <v>0</v>
      </c>
      <c r="BM60" s="3">
        <v>2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2</v>
      </c>
      <c r="BV60" s="3">
        <v>2</v>
      </c>
      <c r="BW60" s="3">
        <v>0</v>
      </c>
      <c r="BX60" s="3">
        <v>2</v>
      </c>
      <c r="BY60" s="3">
        <v>2</v>
      </c>
      <c r="BZ60" s="3">
        <v>0</v>
      </c>
      <c r="CA60" s="3">
        <v>0</v>
      </c>
      <c r="CB60" s="3">
        <v>0</v>
      </c>
      <c r="CC60" s="3">
        <v>1</v>
      </c>
      <c r="CD60" s="3">
        <v>1</v>
      </c>
      <c r="CE60" s="3">
        <v>1</v>
      </c>
      <c r="CF60" s="3">
        <v>0</v>
      </c>
      <c r="CG60" s="3">
        <v>0</v>
      </c>
      <c r="CH60" s="3">
        <v>0</v>
      </c>
      <c r="CI60" s="3">
        <v>0</v>
      </c>
      <c r="CJ60" s="3">
        <v>1</v>
      </c>
      <c r="CK60" s="3">
        <v>1</v>
      </c>
      <c r="CL60" s="3">
        <v>0</v>
      </c>
      <c r="CM60" s="3">
        <f t="shared" si="7"/>
        <v>40</v>
      </c>
      <c r="CN60" s="3">
        <f t="shared" si="8"/>
        <v>8.3333333333333339</v>
      </c>
      <c r="CO60" s="3">
        <f t="shared" si="9"/>
        <v>8.3333333333333339</v>
      </c>
      <c r="CP60" s="3">
        <f t="shared" si="10"/>
        <v>37.5</v>
      </c>
      <c r="CQ60" s="3">
        <f t="shared" si="11"/>
        <v>0</v>
      </c>
      <c r="CR60" s="3">
        <f t="shared" si="12"/>
        <v>18.75</v>
      </c>
      <c r="CS60">
        <f t="shared" si="13"/>
        <v>0</v>
      </c>
      <c r="CT60">
        <f t="shared" si="14"/>
        <v>16.666666666666668</v>
      </c>
      <c r="CU60">
        <f t="shared" si="15"/>
        <v>16.197916666666668</v>
      </c>
      <c r="CV60">
        <v>0</v>
      </c>
      <c r="CW60">
        <v>0</v>
      </c>
      <c r="CX60">
        <v>0</v>
      </c>
      <c r="CY60">
        <v>0</v>
      </c>
      <c r="CZ60">
        <v>1</v>
      </c>
      <c r="DA60">
        <v>0</v>
      </c>
      <c r="DB60">
        <v>0</v>
      </c>
      <c r="DC60">
        <v>0</v>
      </c>
      <c r="DD60">
        <v>1</v>
      </c>
      <c r="DE60">
        <v>0</v>
      </c>
      <c r="DF60">
        <v>2</v>
      </c>
      <c r="DG60">
        <v>3</v>
      </c>
      <c r="DH60">
        <v>0</v>
      </c>
      <c r="DI60">
        <v>0</v>
      </c>
      <c r="DJ60">
        <v>0</v>
      </c>
      <c r="DK60">
        <f t="shared" si="2"/>
        <v>7</v>
      </c>
      <c r="DL60">
        <v>2</v>
      </c>
      <c r="DM60">
        <v>0</v>
      </c>
      <c r="DN60">
        <v>0</v>
      </c>
      <c r="DO60">
        <v>0</v>
      </c>
      <c r="DP60">
        <v>1</v>
      </c>
      <c r="DQ60">
        <v>0</v>
      </c>
      <c r="DR60">
        <v>0</v>
      </c>
      <c r="DS60">
        <v>2</v>
      </c>
      <c r="DT60">
        <v>0</v>
      </c>
      <c r="DU60">
        <v>0</v>
      </c>
      <c r="DV60">
        <v>0</v>
      </c>
      <c r="DW60">
        <v>0</v>
      </c>
      <c r="DX60">
        <v>0</v>
      </c>
      <c r="DY60">
        <f t="shared" si="16"/>
        <v>5</v>
      </c>
      <c r="DZ60">
        <v>1</v>
      </c>
      <c r="EA60">
        <v>1</v>
      </c>
      <c r="EB60">
        <v>0</v>
      </c>
      <c r="EC60">
        <v>0</v>
      </c>
      <c r="ED60">
        <v>0</v>
      </c>
      <c r="EE60">
        <v>1</v>
      </c>
      <c r="EF60">
        <v>1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f t="shared" si="3"/>
        <v>4</v>
      </c>
      <c r="FH60">
        <v>1</v>
      </c>
      <c r="FI60">
        <v>1</v>
      </c>
      <c r="FJ60">
        <v>0</v>
      </c>
      <c r="FK60">
        <v>0</v>
      </c>
      <c r="FL60">
        <v>0</v>
      </c>
      <c r="FM60">
        <v>0</v>
      </c>
      <c r="FN60">
        <f t="shared" si="4"/>
        <v>2</v>
      </c>
      <c r="FO60">
        <f t="shared" si="17"/>
        <v>18</v>
      </c>
      <c r="FP60">
        <v>7</v>
      </c>
      <c r="FQ60">
        <v>5</v>
      </c>
      <c r="FR60">
        <v>3</v>
      </c>
      <c r="FS60">
        <v>6</v>
      </c>
      <c r="FT60">
        <v>3</v>
      </c>
      <c r="FU60">
        <v>2</v>
      </c>
      <c r="FV60">
        <v>5</v>
      </c>
      <c r="FW60">
        <v>6</v>
      </c>
      <c r="FX60">
        <f t="shared" si="18"/>
        <v>30</v>
      </c>
      <c r="FY60">
        <v>0</v>
      </c>
      <c r="FZ60">
        <f t="shared" si="6"/>
        <v>1</v>
      </c>
      <c r="GA60">
        <v>1</v>
      </c>
    </row>
    <row r="61" spans="1:183" x14ac:dyDescent="0.2">
      <c r="A61">
        <v>60</v>
      </c>
      <c r="B61">
        <v>1</v>
      </c>
      <c r="C61">
        <v>1</v>
      </c>
      <c r="D61">
        <v>0</v>
      </c>
      <c r="E61" s="2">
        <v>16411</v>
      </c>
      <c r="F61" s="2">
        <v>44607</v>
      </c>
      <c r="G61" s="3">
        <f t="shared" si="0"/>
        <v>77.166666666666671</v>
      </c>
      <c r="H61">
        <v>72</v>
      </c>
      <c r="I61" s="3">
        <f t="shared" si="1"/>
        <v>5.1666666666666714</v>
      </c>
      <c r="J61">
        <v>0</v>
      </c>
      <c r="K61">
        <v>0</v>
      </c>
      <c r="L61">
        <v>0</v>
      </c>
      <c r="M61">
        <v>0</v>
      </c>
      <c r="N61">
        <v>1</v>
      </c>
      <c r="O61">
        <v>2</v>
      </c>
      <c r="P61">
        <v>1</v>
      </c>
      <c r="Q61">
        <v>4</v>
      </c>
      <c r="R61">
        <v>3</v>
      </c>
      <c r="S61">
        <v>1</v>
      </c>
      <c r="T61">
        <v>1</v>
      </c>
      <c r="U61">
        <v>1</v>
      </c>
      <c r="V61">
        <v>1</v>
      </c>
      <c r="W61">
        <v>1</v>
      </c>
      <c r="X61">
        <v>2</v>
      </c>
      <c r="Y61">
        <v>2</v>
      </c>
      <c r="Z61">
        <v>5</v>
      </c>
      <c r="AA61">
        <v>2</v>
      </c>
      <c r="AB61">
        <v>5</v>
      </c>
      <c r="AC61">
        <v>2</v>
      </c>
      <c r="AD61">
        <v>2</v>
      </c>
      <c r="AE61">
        <v>1</v>
      </c>
      <c r="AF61">
        <v>0</v>
      </c>
      <c r="AG61">
        <v>0</v>
      </c>
      <c r="AH61">
        <v>1</v>
      </c>
      <c r="AI61">
        <f>AJ61*ledd!$B$2+AK61*ledd!$B$3+AL61*ledd!$B$4+AM61*ledd!$B$5+AN61*ledd!$B$6+AO61*ledd!$B$7+AP61*ledd!$B$8+AQ61*ledd!$B$9+AR61*ledd!$B$10+AS61*ledd!$B$11+AT61*ledd!$B$12+AU61*ledd!$B$13+AV61*ledd!$B$14+AW61*ledd!$B$15+AX61*ledd!$B$16</f>
        <v>502</v>
      </c>
      <c r="AJ61">
        <v>450</v>
      </c>
      <c r="AK61">
        <v>0</v>
      </c>
      <c r="AL61">
        <v>0</v>
      </c>
      <c r="AM61">
        <v>0</v>
      </c>
      <c r="AN61">
        <v>0.52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2</v>
      </c>
      <c r="AZ61" s="3">
        <v>2</v>
      </c>
      <c r="BA61" s="3">
        <v>2</v>
      </c>
      <c r="BB61" s="3">
        <v>2</v>
      </c>
      <c r="BC61" s="3">
        <v>4</v>
      </c>
      <c r="BD61" s="3">
        <v>4</v>
      </c>
      <c r="BE61" s="3">
        <v>3</v>
      </c>
      <c r="BF61" s="3">
        <v>4</v>
      </c>
      <c r="BG61" s="3">
        <v>4</v>
      </c>
      <c r="BH61" s="3">
        <v>3</v>
      </c>
      <c r="BI61" s="3">
        <v>1</v>
      </c>
      <c r="BJ61" s="3">
        <v>2</v>
      </c>
      <c r="BK61" s="3">
        <v>3</v>
      </c>
      <c r="BL61" s="3">
        <v>3</v>
      </c>
      <c r="BM61" s="3">
        <v>1</v>
      </c>
      <c r="BN61" s="3">
        <v>1</v>
      </c>
      <c r="BO61" s="3">
        <v>0</v>
      </c>
      <c r="BP61" s="3">
        <v>1</v>
      </c>
      <c r="BQ61" s="3">
        <v>1</v>
      </c>
      <c r="BR61" s="3">
        <v>1</v>
      </c>
      <c r="BS61" s="3">
        <v>1</v>
      </c>
      <c r="BT61" s="3">
        <v>1</v>
      </c>
      <c r="BU61" s="3">
        <v>3</v>
      </c>
      <c r="BV61" s="3">
        <v>1</v>
      </c>
      <c r="BW61" s="3">
        <v>2</v>
      </c>
      <c r="BX61" s="3">
        <v>0</v>
      </c>
      <c r="BY61" s="3">
        <v>2</v>
      </c>
      <c r="BZ61" s="3">
        <v>1</v>
      </c>
      <c r="CA61" s="3">
        <v>0</v>
      </c>
      <c r="CB61" s="3">
        <v>1</v>
      </c>
      <c r="CC61" s="3">
        <v>0</v>
      </c>
      <c r="CD61" s="3">
        <v>1</v>
      </c>
      <c r="CE61" s="3">
        <v>1</v>
      </c>
      <c r="CF61" s="3">
        <v>3</v>
      </c>
      <c r="CG61" s="3">
        <v>0</v>
      </c>
      <c r="CH61" s="3">
        <v>1</v>
      </c>
      <c r="CI61" s="3">
        <v>2</v>
      </c>
      <c r="CJ61" s="3">
        <v>0</v>
      </c>
      <c r="CK61" s="3">
        <v>1</v>
      </c>
      <c r="CL61" s="3">
        <v>1</v>
      </c>
      <c r="CM61" s="3">
        <f t="shared" si="7"/>
        <v>72.5</v>
      </c>
      <c r="CN61" s="3">
        <f t="shared" si="8"/>
        <v>41.666666666666664</v>
      </c>
      <c r="CO61" s="3">
        <f t="shared" si="9"/>
        <v>33.333333333333336</v>
      </c>
      <c r="CP61" s="3">
        <f t="shared" si="10"/>
        <v>31.25</v>
      </c>
      <c r="CQ61" s="3">
        <f t="shared" si="11"/>
        <v>16.666666666666668</v>
      </c>
      <c r="CR61" s="3">
        <f t="shared" si="12"/>
        <v>31.25</v>
      </c>
      <c r="CS61">
        <f t="shared" si="13"/>
        <v>25</v>
      </c>
      <c r="CT61">
        <f t="shared" si="14"/>
        <v>16.666666666666668</v>
      </c>
      <c r="CU61">
        <f t="shared" si="15"/>
        <v>33.541666666666664</v>
      </c>
      <c r="CV61">
        <v>0</v>
      </c>
      <c r="CW61">
        <v>3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2</v>
      </c>
      <c r="DD61">
        <v>0</v>
      </c>
      <c r="DE61">
        <v>2</v>
      </c>
      <c r="DF61">
        <v>0</v>
      </c>
      <c r="DG61">
        <v>0</v>
      </c>
      <c r="DH61">
        <v>0</v>
      </c>
      <c r="DI61">
        <v>0</v>
      </c>
      <c r="DJ61">
        <v>0</v>
      </c>
      <c r="DK61">
        <f t="shared" si="2"/>
        <v>7</v>
      </c>
      <c r="DL61">
        <v>0</v>
      </c>
      <c r="DM61">
        <v>0</v>
      </c>
      <c r="DN61">
        <v>0</v>
      </c>
      <c r="DO61">
        <v>0</v>
      </c>
      <c r="DP61">
        <v>3</v>
      </c>
      <c r="DQ61">
        <v>3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f t="shared" si="16"/>
        <v>6</v>
      </c>
      <c r="DZ61">
        <v>0</v>
      </c>
      <c r="EA61">
        <v>1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1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f t="shared" si="3"/>
        <v>2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f t="shared" si="4"/>
        <v>0</v>
      </c>
      <c r="FO61">
        <f t="shared" si="17"/>
        <v>15</v>
      </c>
      <c r="FP61">
        <v>11</v>
      </c>
      <c r="FQ61">
        <v>4</v>
      </c>
      <c r="FR61">
        <v>3</v>
      </c>
      <c r="FS61">
        <v>6</v>
      </c>
      <c r="FT61">
        <v>3</v>
      </c>
      <c r="FU61">
        <v>2</v>
      </c>
      <c r="FV61">
        <v>3</v>
      </c>
      <c r="FW61">
        <v>6</v>
      </c>
      <c r="FX61">
        <f t="shared" si="18"/>
        <v>27</v>
      </c>
      <c r="FY61">
        <v>0</v>
      </c>
      <c r="FZ61">
        <f t="shared" si="6"/>
        <v>3</v>
      </c>
      <c r="GA61">
        <v>0</v>
      </c>
    </row>
    <row r="62" spans="1:183" x14ac:dyDescent="0.2">
      <c r="A62">
        <v>61</v>
      </c>
      <c r="B62">
        <v>1</v>
      </c>
      <c r="C62">
        <v>1</v>
      </c>
      <c r="D62">
        <v>1</v>
      </c>
      <c r="E62" s="2">
        <v>19484</v>
      </c>
      <c r="F62" s="2">
        <v>44613</v>
      </c>
      <c r="G62" s="3">
        <f t="shared" si="0"/>
        <v>68.75</v>
      </c>
      <c r="H62">
        <v>50</v>
      </c>
      <c r="I62" s="3">
        <f t="shared" si="1"/>
        <v>18.75</v>
      </c>
      <c r="J62">
        <v>11</v>
      </c>
      <c r="K62">
        <v>3</v>
      </c>
      <c r="L62">
        <v>8</v>
      </c>
      <c r="M62">
        <v>0</v>
      </c>
      <c r="N62">
        <v>1</v>
      </c>
      <c r="O62">
        <v>0</v>
      </c>
      <c r="P62">
        <v>3</v>
      </c>
      <c r="Q62">
        <v>2</v>
      </c>
      <c r="R62">
        <v>1</v>
      </c>
      <c r="S62">
        <v>1</v>
      </c>
      <c r="T62">
        <v>0</v>
      </c>
      <c r="U62">
        <v>0</v>
      </c>
      <c r="V62">
        <v>1</v>
      </c>
      <c r="W62">
        <v>1</v>
      </c>
      <c r="X62">
        <v>1</v>
      </c>
      <c r="Y62">
        <v>2</v>
      </c>
      <c r="Z62">
        <v>0</v>
      </c>
      <c r="AA62">
        <v>2</v>
      </c>
      <c r="AB62">
        <v>1</v>
      </c>
      <c r="AC62">
        <v>0</v>
      </c>
      <c r="AD62">
        <v>6</v>
      </c>
      <c r="AE62">
        <v>1</v>
      </c>
      <c r="AF62">
        <v>0</v>
      </c>
      <c r="AG62">
        <v>0</v>
      </c>
      <c r="AH62">
        <v>0</v>
      </c>
      <c r="AI62">
        <f>AJ62*ledd!$B$2+AK62*ledd!$B$3+AL62*ledd!$B$4+AM62*ledd!$B$5+AN62*ledd!$B$6+AO62*ledd!$B$7+AP62*ledd!$B$8+AQ62*ledd!$B$9+AR62*ledd!$B$10+AS62*ledd!$B$11+AT62*ledd!$B$12+AU62*ledd!$B$13+AV62*ledd!$B$14+AW62*ledd!$B$15+AX62*ledd!$B$16</f>
        <v>826.5</v>
      </c>
      <c r="AJ62">
        <v>600</v>
      </c>
      <c r="AK62">
        <v>0</v>
      </c>
      <c r="AL62">
        <v>0</v>
      </c>
      <c r="AM62">
        <v>0</v>
      </c>
      <c r="AN62">
        <v>2.1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50</v>
      </c>
      <c r="AY62">
        <v>2</v>
      </c>
      <c r="AZ62" s="3">
        <v>3</v>
      </c>
      <c r="BA62" s="3">
        <v>1</v>
      </c>
      <c r="BB62" s="3">
        <v>4</v>
      </c>
      <c r="BC62" s="3">
        <v>2</v>
      </c>
      <c r="BD62" s="3">
        <v>0</v>
      </c>
      <c r="BE62" s="3">
        <v>2</v>
      </c>
      <c r="BF62" s="3">
        <v>3</v>
      </c>
      <c r="BG62" s="3">
        <v>0</v>
      </c>
      <c r="BH62" s="3">
        <v>4</v>
      </c>
      <c r="BI62" s="3">
        <v>0</v>
      </c>
      <c r="BJ62" s="3">
        <v>0</v>
      </c>
      <c r="BK62" s="3">
        <v>0</v>
      </c>
      <c r="BL62" s="3">
        <v>2</v>
      </c>
      <c r="BM62" s="3">
        <v>4</v>
      </c>
      <c r="BN62" s="3">
        <v>0</v>
      </c>
      <c r="BO62" s="3">
        <v>0</v>
      </c>
      <c r="BP62" s="3">
        <v>2</v>
      </c>
      <c r="BQ62" s="3">
        <v>3</v>
      </c>
      <c r="BR62" s="3">
        <v>2</v>
      </c>
      <c r="BS62" s="3">
        <v>3</v>
      </c>
      <c r="BT62" s="3">
        <v>1</v>
      </c>
      <c r="BU62" s="3">
        <v>2</v>
      </c>
      <c r="BV62" s="3">
        <v>1</v>
      </c>
      <c r="BW62" s="3">
        <v>1</v>
      </c>
      <c r="BX62" s="3">
        <v>1</v>
      </c>
      <c r="BY62" s="3">
        <v>1</v>
      </c>
      <c r="BZ62" s="3">
        <v>0</v>
      </c>
      <c r="CA62" s="3">
        <v>0</v>
      </c>
      <c r="CB62" s="3">
        <v>2</v>
      </c>
      <c r="CC62" s="3">
        <v>4</v>
      </c>
      <c r="CD62" s="3">
        <v>1</v>
      </c>
      <c r="CE62" s="3">
        <v>1</v>
      </c>
      <c r="CF62" s="3">
        <v>1</v>
      </c>
      <c r="CG62" s="3">
        <v>3</v>
      </c>
      <c r="CH62" s="3">
        <v>1</v>
      </c>
      <c r="CI62" s="3">
        <v>1</v>
      </c>
      <c r="CJ62" s="3">
        <v>1</v>
      </c>
      <c r="CK62" s="3">
        <v>1</v>
      </c>
      <c r="CL62" s="3">
        <v>1</v>
      </c>
      <c r="CM62" s="3">
        <f t="shared" si="7"/>
        <v>47.5</v>
      </c>
      <c r="CN62" s="3">
        <f t="shared" si="8"/>
        <v>25</v>
      </c>
      <c r="CO62" s="3">
        <f t="shared" si="9"/>
        <v>54.166666666666664</v>
      </c>
      <c r="CP62" s="3">
        <f t="shared" si="10"/>
        <v>25</v>
      </c>
      <c r="CQ62" s="3">
        <f t="shared" si="11"/>
        <v>16.666666666666668</v>
      </c>
      <c r="CR62" s="3">
        <f t="shared" si="12"/>
        <v>43.75</v>
      </c>
      <c r="CS62">
        <f t="shared" si="13"/>
        <v>41.666666666666664</v>
      </c>
      <c r="CT62">
        <f t="shared" si="14"/>
        <v>25</v>
      </c>
      <c r="CU62">
        <f t="shared" si="15"/>
        <v>34.84375</v>
      </c>
      <c r="CV62">
        <v>0</v>
      </c>
      <c r="CW62">
        <v>1</v>
      </c>
      <c r="CX62">
        <v>3</v>
      </c>
      <c r="CY62">
        <v>0</v>
      </c>
      <c r="CZ62">
        <v>0</v>
      </c>
      <c r="DA62">
        <v>0</v>
      </c>
      <c r="DB62">
        <v>0</v>
      </c>
      <c r="DC62">
        <v>3</v>
      </c>
      <c r="DD62">
        <v>1</v>
      </c>
      <c r="DE62">
        <v>3</v>
      </c>
      <c r="DF62">
        <v>0</v>
      </c>
      <c r="DG62">
        <v>3</v>
      </c>
      <c r="DH62">
        <v>0</v>
      </c>
      <c r="DI62">
        <v>1</v>
      </c>
      <c r="DJ62">
        <v>0</v>
      </c>
      <c r="DK62">
        <f t="shared" si="2"/>
        <v>15</v>
      </c>
      <c r="DL62">
        <v>2</v>
      </c>
      <c r="DM62">
        <v>3</v>
      </c>
      <c r="DN62">
        <v>1</v>
      </c>
      <c r="DO62">
        <v>0</v>
      </c>
      <c r="DP62">
        <v>0</v>
      </c>
      <c r="DQ62">
        <v>0</v>
      </c>
      <c r="DR62">
        <v>4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4</v>
      </c>
      <c r="DY62">
        <f t="shared" si="16"/>
        <v>14</v>
      </c>
      <c r="DZ62">
        <v>2</v>
      </c>
      <c r="EA62">
        <v>2</v>
      </c>
      <c r="EB62">
        <v>1</v>
      </c>
      <c r="EC62">
        <v>0</v>
      </c>
      <c r="ED62">
        <v>0</v>
      </c>
      <c r="EE62">
        <v>1</v>
      </c>
      <c r="EF62">
        <v>1</v>
      </c>
      <c r="EG62">
        <v>1</v>
      </c>
      <c r="EH62">
        <v>3</v>
      </c>
      <c r="EI62">
        <v>0</v>
      </c>
      <c r="EJ62">
        <v>0</v>
      </c>
      <c r="EK62">
        <v>0</v>
      </c>
      <c r="EL62">
        <v>1</v>
      </c>
      <c r="EM62">
        <v>2</v>
      </c>
      <c r="EN62">
        <v>2</v>
      </c>
      <c r="EO62">
        <v>1</v>
      </c>
      <c r="EP62">
        <v>1</v>
      </c>
      <c r="EQ62">
        <v>0</v>
      </c>
      <c r="ER62">
        <v>2</v>
      </c>
      <c r="ES62">
        <v>0</v>
      </c>
      <c r="ET62">
        <v>3</v>
      </c>
      <c r="EU62">
        <v>2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f t="shared" si="3"/>
        <v>25</v>
      </c>
      <c r="FH62">
        <v>1</v>
      </c>
      <c r="FI62">
        <v>2</v>
      </c>
      <c r="FJ62">
        <v>0</v>
      </c>
      <c r="FK62">
        <v>0</v>
      </c>
      <c r="FL62">
        <v>0</v>
      </c>
      <c r="FM62">
        <v>0</v>
      </c>
      <c r="FN62">
        <f t="shared" si="4"/>
        <v>3</v>
      </c>
      <c r="FO62">
        <f t="shared" si="17"/>
        <v>57</v>
      </c>
      <c r="FP62">
        <v>13</v>
      </c>
      <c r="FQ62">
        <v>1</v>
      </c>
      <c r="FR62">
        <v>3</v>
      </c>
      <c r="FS62">
        <v>6</v>
      </c>
      <c r="FT62">
        <v>2</v>
      </c>
      <c r="FU62">
        <v>1</v>
      </c>
      <c r="FV62">
        <v>4</v>
      </c>
      <c r="FW62">
        <v>6</v>
      </c>
      <c r="FX62">
        <f t="shared" si="18"/>
        <v>23</v>
      </c>
      <c r="FY62">
        <v>0</v>
      </c>
      <c r="FZ62">
        <f t="shared" si="6"/>
        <v>2</v>
      </c>
      <c r="GA62">
        <v>1</v>
      </c>
    </row>
    <row r="63" spans="1:183" x14ac:dyDescent="0.2">
      <c r="A63">
        <v>62</v>
      </c>
      <c r="B63">
        <v>1</v>
      </c>
      <c r="C63">
        <v>1</v>
      </c>
      <c r="D63">
        <v>0</v>
      </c>
      <c r="E63" s="2">
        <v>25028</v>
      </c>
      <c r="F63" s="2">
        <v>44655</v>
      </c>
      <c r="G63" s="3">
        <f t="shared" si="0"/>
        <v>53.666666666666664</v>
      </c>
      <c r="H63">
        <v>34</v>
      </c>
      <c r="I63" s="3">
        <f t="shared" si="1"/>
        <v>19.666666666666664</v>
      </c>
      <c r="J63">
        <v>0</v>
      </c>
      <c r="K63">
        <v>1</v>
      </c>
      <c r="L63">
        <v>0</v>
      </c>
      <c r="M63" s="5">
        <v>3</v>
      </c>
      <c r="N63" s="5" t="s">
        <v>276</v>
      </c>
      <c r="O63">
        <v>2</v>
      </c>
      <c r="P63">
        <v>1</v>
      </c>
      <c r="Q63">
        <v>1</v>
      </c>
      <c r="R63">
        <v>0</v>
      </c>
      <c r="S63">
        <v>0</v>
      </c>
      <c r="T63">
        <v>0</v>
      </c>
      <c r="U63">
        <v>0</v>
      </c>
      <c r="V63">
        <v>1</v>
      </c>
      <c r="W63">
        <v>1</v>
      </c>
      <c r="X63">
        <v>2</v>
      </c>
      <c r="Y63">
        <v>2</v>
      </c>
      <c r="Z63">
        <v>0</v>
      </c>
      <c r="AA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f>AJ63*ledd!$B$2+AK63*ledd!$B$3+AL63*ledd!$B$4+AM63*ledd!$B$5+AN63*ledd!$B$6+AO63*ledd!$B$7+AP63*ledd!$B$8+AQ63*ledd!$B$9+AR63*ledd!$B$10+AS63*ledd!$B$11+AT63*ledd!$B$12+AU63*ledd!$B$13+AV63*ledd!$B$14+AW63*ledd!$B$15+AX63*ledd!$B$16</f>
        <v>791</v>
      </c>
      <c r="AJ63">
        <v>400</v>
      </c>
      <c r="AK63">
        <v>100</v>
      </c>
      <c r="AL63">
        <v>800</v>
      </c>
      <c r="AM63">
        <v>0</v>
      </c>
      <c r="AN63">
        <v>0.52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2</v>
      </c>
      <c r="AZ63" s="3">
        <v>1</v>
      </c>
      <c r="BA63" s="3">
        <v>1</v>
      </c>
      <c r="BB63" s="3">
        <v>1</v>
      </c>
      <c r="BC63" s="3">
        <v>0</v>
      </c>
      <c r="BD63" s="3">
        <v>0</v>
      </c>
      <c r="BE63" s="3">
        <v>1</v>
      </c>
      <c r="BF63" s="3">
        <v>2</v>
      </c>
      <c r="BG63" s="3">
        <v>0</v>
      </c>
      <c r="BH63" s="3">
        <v>1</v>
      </c>
      <c r="BI63" s="3">
        <v>1</v>
      </c>
      <c r="BJ63" s="3">
        <v>0</v>
      </c>
      <c r="BK63" s="3">
        <v>0</v>
      </c>
      <c r="BL63" s="3">
        <v>0</v>
      </c>
      <c r="BM63" s="3">
        <v>4</v>
      </c>
      <c r="BN63" s="3">
        <v>3</v>
      </c>
      <c r="BO63" s="3">
        <v>1</v>
      </c>
      <c r="BP63" s="3">
        <v>1</v>
      </c>
      <c r="BQ63" s="3">
        <v>0</v>
      </c>
      <c r="BR63" s="3">
        <v>0</v>
      </c>
      <c r="BS63" s="3">
        <v>1</v>
      </c>
      <c r="BT63" s="3">
        <v>0</v>
      </c>
      <c r="BU63" s="3">
        <v>0</v>
      </c>
      <c r="BV63" s="3">
        <v>0</v>
      </c>
      <c r="BW63" s="3">
        <v>1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1</v>
      </c>
      <c r="CE63" s="3">
        <v>0</v>
      </c>
      <c r="CF63" s="3">
        <v>1</v>
      </c>
      <c r="CG63" s="3">
        <v>1</v>
      </c>
      <c r="CH63" s="3">
        <v>0</v>
      </c>
      <c r="CI63" s="3">
        <v>1</v>
      </c>
      <c r="CJ63" s="3">
        <v>2</v>
      </c>
      <c r="CK63" s="3">
        <v>2</v>
      </c>
      <c r="CL63" s="3">
        <v>1</v>
      </c>
      <c r="CM63" s="3">
        <f t="shared" si="7"/>
        <v>20</v>
      </c>
      <c r="CN63" s="3">
        <f t="shared" si="8"/>
        <v>33.333333333333336</v>
      </c>
      <c r="CO63" s="3">
        <f t="shared" si="9"/>
        <v>8.3333333333333339</v>
      </c>
      <c r="CP63" s="3">
        <f t="shared" si="10"/>
        <v>6.25</v>
      </c>
      <c r="CQ63" s="3">
        <f t="shared" si="11"/>
        <v>0</v>
      </c>
      <c r="CR63" s="3">
        <f t="shared" si="12"/>
        <v>12.5</v>
      </c>
      <c r="CS63">
        <f t="shared" si="13"/>
        <v>16.666666666666668</v>
      </c>
      <c r="CT63">
        <f t="shared" si="14"/>
        <v>41.666666666666664</v>
      </c>
      <c r="CU63">
        <f t="shared" si="15"/>
        <v>17.34375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f t="shared" si="2"/>
        <v>0</v>
      </c>
      <c r="DL63">
        <v>1</v>
      </c>
      <c r="DM63">
        <v>0</v>
      </c>
      <c r="DN63">
        <v>0</v>
      </c>
      <c r="DO63">
        <v>3</v>
      </c>
      <c r="DP63">
        <v>0</v>
      </c>
      <c r="DQ63">
        <v>0</v>
      </c>
      <c r="DR63">
        <v>4</v>
      </c>
      <c r="DS63">
        <v>0</v>
      </c>
      <c r="DT63">
        <v>2</v>
      </c>
      <c r="DU63">
        <v>1</v>
      </c>
      <c r="DV63">
        <v>0</v>
      </c>
      <c r="DW63">
        <v>0</v>
      </c>
      <c r="DX63">
        <v>3</v>
      </c>
      <c r="DY63">
        <f t="shared" si="16"/>
        <v>14</v>
      </c>
      <c r="DZ63">
        <v>1</v>
      </c>
      <c r="EA63">
        <v>2</v>
      </c>
      <c r="EB63">
        <v>1</v>
      </c>
      <c r="EC63">
        <v>3</v>
      </c>
      <c r="ED63">
        <v>2</v>
      </c>
      <c r="EE63">
        <v>2</v>
      </c>
      <c r="EF63">
        <v>2</v>
      </c>
      <c r="EG63">
        <v>1</v>
      </c>
      <c r="EH63">
        <v>2</v>
      </c>
      <c r="EI63">
        <v>1</v>
      </c>
      <c r="EJ63">
        <v>3</v>
      </c>
      <c r="EK63">
        <v>1</v>
      </c>
      <c r="EL63">
        <v>3</v>
      </c>
      <c r="EM63">
        <v>1</v>
      </c>
      <c r="EN63">
        <v>2</v>
      </c>
      <c r="EO63">
        <v>0</v>
      </c>
      <c r="EP63">
        <v>0</v>
      </c>
      <c r="EQ63">
        <v>0</v>
      </c>
      <c r="ER63">
        <v>1</v>
      </c>
      <c r="ES63">
        <v>0</v>
      </c>
      <c r="ET63">
        <v>0</v>
      </c>
      <c r="EU63">
        <v>2</v>
      </c>
      <c r="EV63">
        <v>1</v>
      </c>
      <c r="EW63">
        <v>0</v>
      </c>
      <c r="EX63">
        <v>1</v>
      </c>
      <c r="EY63">
        <v>0</v>
      </c>
      <c r="EZ63">
        <v>1</v>
      </c>
      <c r="FA63">
        <v>0</v>
      </c>
      <c r="FB63">
        <v>0</v>
      </c>
      <c r="FC63">
        <v>0</v>
      </c>
      <c r="FD63">
        <v>1</v>
      </c>
      <c r="FE63">
        <v>0</v>
      </c>
      <c r="FF63">
        <v>1</v>
      </c>
      <c r="FG63">
        <f t="shared" si="3"/>
        <v>35</v>
      </c>
      <c r="FH63">
        <v>1</v>
      </c>
      <c r="FI63">
        <v>0</v>
      </c>
      <c r="FJ63">
        <v>0</v>
      </c>
      <c r="FK63">
        <v>0</v>
      </c>
      <c r="FL63">
        <v>0</v>
      </c>
      <c r="FM63">
        <v>0</v>
      </c>
      <c r="FN63">
        <f t="shared" si="4"/>
        <v>1</v>
      </c>
      <c r="FO63">
        <f t="shared" si="17"/>
        <v>50</v>
      </c>
      <c r="FP63">
        <v>5</v>
      </c>
      <c r="FQ63">
        <v>5</v>
      </c>
      <c r="FR63">
        <v>3</v>
      </c>
      <c r="FS63">
        <v>6</v>
      </c>
      <c r="FT63">
        <v>3</v>
      </c>
      <c r="FU63">
        <v>2</v>
      </c>
      <c r="FV63">
        <v>4</v>
      </c>
      <c r="FW63">
        <v>6</v>
      </c>
      <c r="FX63">
        <f t="shared" si="18"/>
        <v>29</v>
      </c>
      <c r="FY63">
        <v>0</v>
      </c>
      <c r="FZ63">
        <f t="shared" si="6"/>
        <v>1</v>
      </c>
      <c r="GA63">
        <v>1</v>
      </c>
    </row>
    <row r="64" spans="1:183" x14ac:dyDescent="0.2">
      <c r="A64">
        <v>63</v>
      </c>
      <c r="B64">
        <v>1</v>
      </c>
      <c r="C64">
        <v>1</v>
      </c>
      <c r="D64">
        <v>1</v>
      </c>
      <c r="E64" s="2">
        <v>24357</v>
      </c>
      <c r="F64" s="2">
        <v>44658</v>
      </c>
      <c r="G64" s="3">
        <f t="shared" si="0"/>
        <v>55.583333333333336</v>
      </c>
      <c r="H64">
        <v>45</v>
      </c>
      <c r="I64" s="3">
        <f t="shared" si="1"/>
        <v>10.583333333333336</v>
      </c>
      <c r="J64">
        <v>0</v>
      </c>
      <c r="K64">
        <v>1</v>
      </c>
      <c r="L64">
        <v>8</v>
      </c>
      <c r="M64">
        <v>0</v>
      </c>
      <c r="N64">
        <v>2</v>
      </c>
      <c r="O64">
        <v>0</v>
      </c>
      <c r="P64">
        <v>3</v>
      </c>
      <c r="Q64">
        <v>4</v>
      </c>
      <c r="R64">
        <v>3</v>
      </c>
      <c r="S64">
        <v>1</v>
      </c>
      <c r="T64">
        <v>1</v>
      </c>
      <c r="U64">
        <v>0</v>
      </c>
      <c r="V64">
        <v>1</v>
      </c>
      <c r="W64">
        <v>1</v>
      </c>
      <c r="X64">
        <v>2</v>
      </c>
      <c r="Y64">
        <v>2</v>
      </c>
      <c r="Z64">
        <v>0</v>
      </c>
      <c r="AA64">
        <v>2</v>
      </c>
      <c r="AB64">
        <v>0</v>
      </c>
      <c r="AC64">
        <v>0</v>
      </c>
      <c r="AD64">
        <v>6</v>
      </c>
      <c r="AE64">
        <v>1</v>
      </c>
      <c r="AF64">
        <v>0</v>
      </c>
      <c r="AG64">
        <v>0</v>
      </c>
      <c r="AH64">
        <v>0</v>
      </c>
      <c r="AI64">
        <f>AJ64*ledd!$B$2+AK64*ledd!$B$3+AL64*ledd!$B$4+AM64*ledd!$B$5+AN64*ledd!$B$6+AO64*ledd!$B$7+AP64*ledd!$B$8+AQ64*ledd!$B$9+AR64*ledd!$B$10+AS64*ledd!$B$11+AT64*ledd!$B$12+AU64*ledd!$B$13+AV64*ledd!$B$14+AW64*ledd!$B$15+AX64*ledd!$B$16</f>
        <v>540</v>
      </c>
      <c r="AJ64">
        <v>150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8</v>
      </c>
      <c r="AQ64">
        <v>0</v>
      </c>
      <c r="AR64">
        <v>0</v>
      </c>
      <c r="AS64">
        <v>0</v>
      </c>
      <c r="AT64">
        <v>150</v>
      </c>
      <c r="AU64">
        <v>0</v>
      </c>
      <c r="AV64">
        <v>0</v>
      </c>
      <c r="AW64">
        <v>0</v>
      </c>
      <c r="AX64">
        <v>0</v>
      </c>
      <c r="AY64">
        <v>2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f t="shared" si="7"/>
        <v>0</v>
      </c>
      <c r="CN64" s="3">
        <f t="shared" si="8"/>
        <v>0</v>
      </c>
      <c r="CO64" s="3">
        <f t="shared" si="9"/>
        <v>0</v>
      </c>
      <c r="CP64" s="3">
        <f t="shared" si="10"/>
        <v>0</v>
      </c>
      <c r="CQ64" s="3">
        <f t="shared" si="11"/>
        <v>0</v>
      </c>
      <c r="CR64" s="3">
        <f t="shared" si="12"/>
        <v>0</v>
      </c>
      <c r="CS64">
        <f t="shared" si="13"/>
        <v>0</v>
      </c>
      <c r="CT64">
        <f t="shared" si="14"/>
        <v>0</v>
      </c>
      <c r="CU64">
        <f t="shared" si="15"/>
        <v>0</v>
      </c>
      <c r="CV64">
        <v>1</v>
      </c>
      <c r="CW64">
        <v>2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1</v>
      </c>
      <c r="DD64">
        <v>2</v>
      </c>
      <c r="DE64">
        <v>0</v>
      </c>
      <c r="DF64">
        <v>0</v>
      </c>
      <c r="DG64">
        <v>0</v>
      </c>
      <c r="DH64">
        <v>0</v>
      </c>
      <c r="DI64">
        <v>2</v>
      </c>
      <c r="DJ64">
        <v>0</v>
      </c>
      <c r="DK64">
        <f t="shared" si="2"/>
        <v>8</v>
      </c>
      <c r="DL64">
        <v>0</v>
      </c>
      <c r="DM64">
        <v>3</v>
      </c>
      <c r="DN64">
        <v>3</v>
      </c>
      <c r="DO64">
        <v>1</v>
      </c>
      <c r="DP64">
        <v>0</v>
      </c>
      <c r="DQ64">
        <v>0</v>
      </c>
      <c r="DR64">
        <v>3</v>
      </c>
      <c r="DS64">
        <v>1</v>
      </c>
      <c r="DT64">
        <v>1</v>
      </c>
      <c r="DU64">
        <v>1</v>
      </c>
      <c r="DV64">
        <v>1</v>
      </c>
      <c r="DW64">
        <v>0</v>
      </c>
      <c r="DX64">
        <v>1</v>
      </c>
      <c r="DY64">
        <f t="shared" si="16"/>
        <v>15</v>
      </c>
      <c r="DZ64">
        <v>0</v>
      </c>
      <c r="EA64">
        <v>2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2</v>
      </c>
      <c r="EH64">
        <v>1</v>
      </c>
      <c r="EI64">
        <v>1</v>
      </c>
      <c r="EJ64">
        <v>0</v>
      </c>
      <c r="EK64">
        <v>0</v>
      </c>
      <c r="EL64">
        <v>0</v>
      </c>
      <c r="EM64">
        <v>2</v>
      </c>
      <c r="EN64">
        <v>0</v>
      </c>
      <c r="EO64">
        <v>0</v>
      </c>
      <c r="EP64">
        <v>0</v>
      </c>
      <c r="EQ64">
        <v>0</v>
      </c>
      <c r="ER64">
        <v>2</v>
      </c>
      <c r="ES64">
        <v>0</v>
      </c>
      <c r="ET64">
        <v>0</v>
      </c>
      <c r="EU64">
        <v>1</v>
      </c>
      <c r="EV64">
        <v>0</v>
      </c>
      <c r="EW64">
        <v>0</v>
      </c>
      <c r="EX64">
        <v>1</v>
      </c>
      <c r="EY64">
        <v>0</v>
      </c>
      <c r="EZ64">
        <v>1</v>
      </c>
      <c r="FA64">
        <v>0</v>
      </c>
      <c r="FB64">
        <v>1</v>
      </c>
      <c r="FC64">
        <v>0</v>
      </c>
      <c r="FD64">
        <v>0</v>
      </c>
      <c r="FE64">
        <v>0</v>
      </c>
      <c r="FF64">
        <v>1</v>
      </c>
      <c r="FG64">
        <f t="shared" si="3"/>
        <v>15</v>
      </c>
      <c r="FH64">
        <v>1</v>
      </c>
      <c r="FI64">
        <v>1</v>
      </c>
      <c r="FJ64">
        <v>1</v>
      </c>
      <c r="FK64">
        <v>2</v>
      </c>
      <c r="FL64">
        <v>4</v>
      </c>
      <c r="FM64">
        <v>0</v>
      </c>
      <c r="FN64">
        <f t="shared" si="4"/>
        <v>9</v>
      </c>
      <c r="FO64">
        <f t="shared" si="17"/>
        <v>47</v>
      </c>
      <c r="FP64">
        <v>1</v>
      </c>
      <c r="FQ64">
        <v>5</v>
      </c>
      <c r="FR64">
        <v>3</v>
      </c>
      <c r="FS64">
        <v>6</v>
      </c>
      <c r="FT64">
        <v>3</v>
      </c>
      <c r="FU64">
        <v>2</v>
      </c>
      <c r="FV64">
        <v>3</v>
      </c>
      <c r="FW64">
        <v>6</v>
      </c>
      <c r="FX64">
        <f t="shared" si="18"/>
        <v>28</v>
      </c>
      <c r="FY64">
        <v>0</v>
      </c>
      <c r="FZ64">
        <f t="shared" si="6"/>
        <v>1</v>
      </c>
      <c r="GA64">
        <v>1</v>
      </c>
    </row>
    <row r="65" spans="1:183" x14ac:dyDescent="0.2">
      <c r="A65">
        <v>64</v>
      </c>
      <c r="B65">
        <v>1</v>
      </c>
      <c r="C65">
        <v>1</v>
      </c>
      <c r="D65">
        <v>0</v>
      </c>
      <c r="E65" s="2">
        <v>20201</v>
      </c>
      <c r="F65" s="2">
        <v>44663</v>
      </c>
      <c r="G65" s="3">
        <f t="shared" si="0"/>
        <v>66.916666666666671</v>
      </c>
      <c r="H65">
        <v>56</v>
      </c>
      <c r="I65" s="3">
        <f t="shared" si="1"/>
        <v>10.916666666666671</v>
      </c>
      <c r="J65">
        <v>0</v>
      </c>
      <c r="K65">
        <v>5</v>
      </c>
      <c r="L65">
        <v>0</v>
      </c>
      <c r="M65">
        <v>0</v>
      </c>
      <c r="N65">
        <v>1</v>
      </c>
      <c r="O65">
        <v>0</v>
      </c>
      <c r="P65">
        <v>3</v>
      </c>
      <c r="Q65">
        <v>2</v>
      </c>
      <c r="R65">
        <v>1</v>
      </c>
      <c r="S65">
        <v>1</v>
      </c>
      <c r="T65">
        <v>1</v>
      </c>
      <c r="U65">
        <v>0</v>
      </c>
      <c r="V65">
        <v>1</v>
      </c>
      <c r="W65">
        <v>1</v>
      </c>
      <c r="X65">
        <v>3</v>
      </c>
      <c r="Y65">
        <v>3</v>
      </c>
      <c r="Z65">
        <v>1</v>
      </c>
      <c r="AA65">
        <v>0</v>
      </c>
      <c r="AC65">
        <v>1</v>
      </c>
      <c r="AD65">
        <v>6</v>
      </c>
      <c r="AE65">
        <v>1</v>
      </c>
      <c r="AF65">
        <v>0</v>
      </c>
      <c r="AG65">
        <v>0</v>
      </c>
      <c r="AH65">
        <v>1</v>
      </c>
      <c r="AI65">
        <f>AJ65*ledd!$B$2+AK65*ledd!$B$3+AL65*ledd!$B$4+AM65*ledd!$B$5+AN65*ledd!$B$6+AO65*ledd!$B$7+AP65*ledd!$B$8+AQ65*ledd!$B$9+AR65*ledd!$B$10+AS65*ledd!$B$11+AT65*ledd!$B$12+AU65*ledd!$B$13+AV65*ledd!$B$14+AW65*ledd!$B$15+AX65*ledd!$B$16</f>
        <v>616.5</v>
      </c>
      <c r="AJ65">
        <v>300</v>
      </c>
      <c r="AK65">
        <v>0</v>
      </c>
      <c r="AL65">
        <v>0</v>
      </c>
      <c r="AM65">
        <v>0</v>
      </c>
      <c r="AN65">
        <v>0</v>
      </c>
      <c r="AO65">
        <v>10</v>
      </c>
      <c r="AP65">
        <v>0</v>
      </c>
      <c r="AQ65">
        <v>0</v>
      </c>
      <c r="AR65">
        <v>0</v>
      </c>
      <c r="AS65">
        <v>1</v>
      </c>
      <c r="AT65">
        <v>0</v>
      </c>
      <c r="AU65">
        <v>0</v>
      </c>
      <c r="AV65">
        <v>0</v>
      </c>
      <c r="AW65">
        <v>0</v>
      </c>
      <c r="AX65">
        <v>50</v>
      </c>
      <c r="AY65">
        <v>2</v>
      </c>
      <c r="AZ65" s="3">
        <v>1</v>
      </c>
      <c r="BA65" s="3">
        <v>1</v>
      </c>
      <c r="BB65" s="3">
        <v>1</v>
      </c>
      <c r="BC65" s="3">
        <v>0</v>
      </c>
      <c r="BD65" s="3">
        <v>0</v>
      </c>
      <c r="BE65" s="3">
        <v>2</v>
      </c>
      <c r="BF65" s="3">
        <v>2</v>
      </c>
      <c r="BG65" s="3">
        <v>1</v>
      </c>
      <c r="BH65" s="3">
        <v>2</v>
      </c>
      <c r="BI65" s="3">
        <v>1</v>
      </c>
      <c r="BJ65" s="3">
        <v>1</v>
      </c>
      <c r="BK65" s="3">
        <v>1</v>
      </c>
      <c r="BL65" s="3">
        <v>2</v>
      </c>
      <c r="BM65" s="3">
        <v>3</v>
      </c>
      <c r="BN65" s="3">
        <v>2</v>
      </c>
      <c r="BO65" s="3">
        <v>2</v>
      </c>
      <c r="BP65" s="3">
        <v>2</v>
      </c>
      <c r="BQ65" s="3">
        <v>2</v>
      </c>
      <c r="BR65" s="3">
        <v>1</v>
      </c>
      <c r="BS65" s="3">
        <v>1</v>
      </c>
      <c r="BT65" s="3">
        <v>2</v>
      </c>
      <c r="BU65" s="3">
        <v>3</v>
      </c>
      <c r="BV65" s="3">
        <v>0</v>
      </c>
      <c r="BW65" s="3">
        <v>1</v>
      </c>
      <c r="BX65" s="3">
        <v>1</v>
      </c>
      <c r="BY65" s="3">
        <v>0</v>
      </c>
      <c r="BZ65" s="3">
        <v>0</v>
      </c>
      <c r="CA65" s="3">
        <v>0</v>
      </c>
      <c r="CB65" s="3">
        <v>0</v>
      </c>
      <c r="CC65" s="3">
        <v>1</v>
      </c>
      <c r="CD65" s="3">
        <v>1</v>
      </c>
      <c r="CE65" s="3">
        <v>1</v>
      </c>
      <c r="CF65" s="3">
        <v>1</v>
      </c>
      <c r="CG65" s="3">
        <v>1</v>
      </c>
      <c r="CH65" s="3">
        <v>1</v>
      </c>
      <c r="CI65" s="3">
        <v>2</v>
      </c>
      <c r="CJ65" s="3">
        <v>1</v>
      </c>
      <c r="CK65" s="3">
        <v>1</v>
      </c>
      <c r="CL65" s="3">
        <v>1</v>
      </c>
      <c r="CM65" s="3">
        <f t="shared" si="7"/>
        <v>27.5</v>
      </c>
      <c r="CN65" s="3">
        <f t="shared" si="8"/>
        <v>45.833333333333336</v>
      </c>
      <c r="CO65" s="3">
        <f t="shared" si="9"/>
        <v>45.833333333333336</v>
      </c>
      <c r="CP65" s="3">
        <f t="shared" si="10"/>
        <v>12.5</v>
      </c>
      <c r="CQ65" s="3">
        <f t="shared" si="11"/>
        <v>0</v>
      </c>
      <c r="CR65" s="3">
        <f t="shared" si="12"/>
        <v>25</v>
      </c>
      <c r="CS65">
        <f t="shared" si="13"/>
        <v>33.333333333333336</v>
      </c>
      <c r="CT65">
        <f t="shared" si="14"/>
        <v>25</v>
      </c>
      <c r="CU65">
        <f t="shared" si="15"/>
        <v>26.875000000000004</v>
      </c>
      <c r="CV65">
        <v>1</v>
      </c>
      <c r="CW65">
        <v>0</v>
      </c>
      <c r="CX65">
        <v>2</v>
      </c>
      <c r="CY65">
        <v>0</v>
      </c>
      <c r="CZ65">
        <v>0</v>
      </c>
      <c r="DA65">
        <v>0</v>
      </c>
      <c r="DB65">
        <v>0</v>
      </c>
      <c r="DC65">
        <v>1</v>
      </c>
      <c r="DD65">
        <v>3</v>
      </c>
      <c r="DE65">
        <v>1</v>
      </c>
      <c r="DF65">
        <v>0</v>
      </c>
      <c r="DG65">
        <v>1</v>
      </c>
      <c r="DH65">
        <v>1</v>
      </c>
      <c r="DI65">
        <v>0</v>
      </c>
      <c r="DJ65">
        <v>0</v>
      </c>
      <c r="DK65">
        <f t="shared" si="2"/>
        <v>10</v>
      </c>
      <c r="DL65">
        <v>0</v>
      </c>
      <c r="DM65">
        <v>1</v>
      </c>
      <c r="DN65">
        <v>0</v>
      </c>
      <c r="DO65">
        <v>0</v>
      </c>
      <c r="DP65">
        <v>0</v>
      </c>
      <c r="DQ65">
        <v>0</v>
      </c>
      <c r="DR65">
        <v>2</v>
      </c>
      <c r="DS65">
        <v>1</v>
      </c>
      <c r="DT65">
        <v>0</v>
      </c>
      <c r="DU65">
        <v>0</v>
      </c>
      <c r="DV65">
        <v>0</v>
      </c>
      <c r="DW65">
        <v>0</v>
      </c>
      <c r="DX65">
        <v>0</v>
      </c>
      <c r="DY65">
        <f t="shared" si="16"/>
        <v>4</v>
      </c>
      <c r="DZ65">
        <v>0</v>
      </c>
      <c r="EA65">
        <v>1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1</v>
      </c>
      <c r="EH65">
        <v>0</v>
      </c>
      <c r="EI65">
        <v>1</v>
      </c>
      <c r="EJ65">
        <v>0</v>
      </c>
      <c r="EK65">
        <v>1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1</v>
      </c>
      <c r="EU65">
        <v>0</v>
      </c>
      <c r="EV65">
        <v>1</v>
      </c>
      <c r="EW65">
        <v>1</v>
      </c>
      <c r="EX65">
        <v>0</v>
      </c>
      <c r="EY65">
        <v>1</v>
      </c>
      <c r="EZ65">
        <v>0</v>
      </c>
      <c r="FA65">
        <v>1</v>
      </c>
      <c r="FB65">
        <v>0</v>
      </c>
      <c r="FC65">
        <v>0</v>
      </c>
      <c r="FD65">
        <v>0</v>
      </c>
      <c r="FE65">
        <v>0</v>
      </c>
      <c r="FF65">
        <v>1</v>
      </c>
      <c r="FG65">
        <f t="shared" si="3"/>
        <v>10</v>
      </c>
      <c r="FH65">
        <v>0</v>
      </c>
      <c r="FI65">
        <v>0</v>
      </c>
      <c r="FJ65">
        <v>1</v>
      </c>
      <c r="FK65">
        <v>2</v>
      </c>
      <c r="FL65">
        <v>0</v>
      </c>
      <c r="FM65">
        <v>0</v>
      </c>
      <c r="FN65">
        <f t="shared" si="4"/>
        <v>3</v>
      </c>
      <c r="FO65">
        <f t="shared" si="17"/>
        <v>27</v>
      </c>
      <c r="FP65">
        <v>16</v>
      </c>
      <c r="FQ65">
        <v>5</v>
      </c>
      <c r="FR65">
        <v>3</v>
      </c>
      <c r="FS65">
        <v>6</v>
      </c>
      <c r="FT65">
        <v>3</v>
      </c>
      <c r="FU65">
        <v>2</v>
      </c>
      <c r="FV65">
        <v>3</v>
      </c>
      <c r="FW65">
        <v>6</v>
      </c>
      <c r="FX65">
        <f t="shared" si="18"/>
        <v>28</v>
      </c>
      <c r="FY65">
        <v>0</v>
      </c>
      <c r="FZ65">
        <f t="shared" si="6"/>
        <v>2</v>
      </c>
      <c r="GA65">
        <v>0</v>
      </c>
    </row>
    <row r="66" spans="1:183" x14ac:dyDescent="0.2">
      <c r="A66">
        <v>65</v>
      </c>
      <c r="B66">
        <v>1</v>
      </c>
      <c r="C66">
        <v>1</v>
      </c>
      <c r="D66">
        <v>0</v>
      </c>
      <c r="E66" s="2">
        <v>21739</v>
      </c>
      <c r="F66" s="2">
        <v>44664</v>
      </c>
      <c r="G66" s="3">
        <f t="shared" ref="G66:G95" si="22">DATEDIF(E66,F66,"M")/12</f>
        <v>62.75</v>
      </c>
      <c r="H66">
        <v>48</v>
      </c>
      <c r="I66" s="3">
        <f t="shared" ref="I66:I95" si="23">G66-H66</f>
        <v>14.75</v>
      </c>
      <c r="J66">
        <v>0</v>
      </c>
      <c r="K66">
        <v>1</v>
      </c>
      <c r="L66">
        <v>0</v>
      </c>
      <c r="M66">
        <v>0</v>
      </c>
      <c r="N66">
        <v>2</v>
      </c>
      <c r="O66">
        <v>0</v>
      </c>
      <c r="P66">
        <v>3</v>
      </c>
      <c r="Q66">
        <v>2</v>
      </c>
      <c r="R66">
        <v>1</v>
      </c>
      <c r="S66">
        <v>1</v>
      </c>
      <c r="T66">
        <v>1</v>
      </c>
      <c r="U66">
        <v>0</v>
      </c>
      <c r="V66">
        <v>1</v>
      </c>
      <c r="W66">
        <v>1</v>
      </c>
      <c r="X66">
        <v>0</v>
      </c>
      <c r="Y66">
        <v>0</v>
      </c>
      <c r="AA66">
        <v>0</v>
      </c>
      <c r="AC66">
        <v>0</v>
      </c>
      <c r="AD66">
        <v>6</v>
      </c>
      <c r="AE66">
        <v>0</v>
      </c>
      <c r="AF66">
        <v>0</v>
      </c>
      <c r="AG66">
        <v>0</v>
      </c>
      <c r="AH66">
        <v>0</v>
      </c>
      <c r="AI66">
        <f>AJ66*ledd!$B$2+AK66*ledd!$B$3+AL66*ledd!$B$4+AM66*ledd!$B$5+AN66*ledd!$B$6+AO66*ledd!$B$7+AP66*ledd!$B$8+AQ66*ledd!$B$9+AR66*ledd!$B$10+AS66*ledd!$B$11+AT66*ledd!$B$12+AU66*ledd!$B$13+AV66*ledd!$B$14+AW66*ledd!$B$15+AX66*ledd!$B$16</f>
        <v>150</v>
      </c>
      <c r="AJ66">
        <v>150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2</v>
      </c>
      <c r="AZ66" s="3">
        <v>2</v>
      </c>
      <c r="BA66" s="3">
        <v>1</v>
      </c>
      <c r="BB66" s="3">
        <v>0</v>
      </c>
      <c r="BC66" s="3">
        <v>2</v>
      </c>
      <c r="BD66" s="3">
        <v>1</v>
      </c>
      <c r="BE66" s="3">
        <v>0</v>
      </c>
      <c r="BF66" s="3">
        <v>3</v>
      </c>
      <c r="BG66" s="3">
        <v>2</v>
      </c>
      <c r="BH66" s="3">
        <v>3</v>
      </c>
      <c r="BI66" s="3">
        <v>2</v>
      </c>
      <c r="BJ66" s="3">
        <v>0</v>
      </c>
      <c r="BK66" s="3">
        <v>0</v>
      </c>
      <c r="BL66" s="3">
        <v>0</v>
      </c>
      <c r="BM66" s="3">
        <v>1</v>
      </c>
      <c r="BN66" s="3">
        <v>0</v>
      </c>
      <c r="BO66" s="3">
        <v>0</v>
      </c>
      <c r="BP66" s="3">
        <v>2</v>
      </c>
      <c r="BQ66" s="3">
        <v>2</v>
      </c>
      <c r="BR66" s="3">
        <v>2</v>
      </c>
      <c r="BS66" s="3">
        <v>1</v>
      </c>
      <c r="BT66" s="3">
        <v>2</v>
      </c>
      <c r="BU66" s="3">
        <v>2</v>
      </c>
      <c r="BV66" s="3">
        <v>2</v>
      </c>
      <c r="BW66" s="3">
        <v>0</v>
      </c>
      <c r="BX66" s="3">
        <v>2</v>
      </c>
      <c r="BY66" s="3">
        <v>2</v>
      </c>
      <c r="BZ66" s="3">
        <v>0</v>
      </c>
      <c r="CA66" s="3">
        <v>0</v>
      </c>
      <c r="CB66" s="3">
        <v>0</v>
      </c>
      <c r="CC66" s="3">
        <v>0</v>
      </c>
      <c r="CD66" s="3">
        <v>1</v>
      </c>
      <c r="CE66" s="3">
        <v>2</v>
      </c>
      <c r="CF66" s="3">
        <v>0</v>
      </c>
      <c r="CG66" s="3">
        <v>0</v>
      </c>
      <c r="CH66" s="3">
        <v>0</v>
      </c>
      <c r="CI66" s="3">
        <v>0</v>
      </c>
      <c r="CJ66" s="3">
        <v>2</v>
      </c>
      <c r="CK66" s="3">
        <v>2</v>
      </c>
      <c r="CL66" s="3">
        <v>1</v>
      </c>
      <c r="CM66" s="3">
        <f t="shared" si="7"/>
        <v>40</v>
      </c>
      <c r="CN66" s="3">
        <f t="shared" si="8"/>
        <v>4.166666666666667</v>
      </c>
      <c r="CO66" s="3">
        <f t="shared" si="9"/>
        <v>45.833333333333336</v>
      </c>
      <c r="CP66" s="3">
        <f t="shared" si="10"/>
        <v>37.5</v>
      </c>
      <c r="CQ66" s="3">
        <f t="shared" si="11"/>
        <v>0</v>
      </c>
      <c r="CR66" s="3">
        <f t="shared" si="12"/>
        <v>18.75</v>
      </c>
      <c r="CS66">
        <f t="shared" si="13"/>
        <v>0</v>
      </c>
      <c r="CT66">
        <f t="shared" si="14"/>
        <v>41.666666666666664</v>
      </c>
      <c r="CU66">
        <f t="shared" si="15"/>
        <v>23.489583333333332</v>
      </c>
      <c r="CV66">
        <v>0</v>
      </c>
      <c r="CW66">
        <v>0</v>
      </c>
      <c r="CX66">
        <v>3</v>
      </c>
      <c r="CY66">
        <v>0</v>
      </c>
      <c r="CZ66">
        <v>0</v>
      </c>
      <c r="DA66">
        <v>0</v>
      </c>
      <c r="DB66">
        <v>0</v>
      </c>
      <c r="DC66">
        <v>2</v>
      </c>
      <c r="DD66">
        <v>1</v>
      </c>
      <c r="DE66">
        <v>1</v>
      </c>
      <c r="DF66">
        <v>1</v>
      </c>
      <c r="DG66">
        <v>0</v>
      </c>
      <c r="DH66">
        <v>0</v>
      </c>
      <c r="DI66">
        <v>0</v>
      </c>
      <c r="DJ66">
        <v>0</v>
      </c>
      <c r="DK66">
        <f t="shared" ref="DK66:DK95" si="24">SUM(CV66:DA66,DC66:DI66)</f>
        <v>8</v>
      </c>
      <c r="DL66">
        <v>0</v>
      </c>
      <c r="DM66">
        <v>1</v>
      </c>
      <c r="DN66">
        <v>0</v>
      </c>
      <c r="DO66">
        <v>0</v>
      </c>
      <c r="DP66">
        <v>0</v>
      </c>
      <c r="DQ66">
        <v>0</v>
      </c>
      <c r="DR66">
        <v>1</v>
      </c>
      <c r="DS66">
        <v>2</v>
      </c>
      <c r="DT66">
        <v>1</v>
      </c>
      <c r="DU66">
        <v>1</v>
      </c>
      <c r="DV66">
        <v>0</v>
      </c>
      <c r="DW66">
        <v>0</v>
      </c>
      <c r="DX66">
        <v>0</v>
      </c>
      <c r="DY66">
        <f t="shared" ref="DY66:DY95" si="25">SUM(DL66:DX66)</f>
        <v>6</v>
      </c>
      <c r="DZ66">
        <v>0</v>
      </c>
      <c r="EA66">
        <v>0</v>
      </c>
      <c r="EB66">
        <v>0</v>
      </c>
      <c r="EC66">
        <v>2</v>
      </c>
      <c r="ED66">
        <v>1</v>
      </c>
      <c r="EE66">
        <v>0</v>
      </c>
      <c r="EF66">
        <v>0</v>
      </c>
      <c r="EG66">
        <v>1</v>
      </c>
      <c r="EH66">
        <v>0</v>
      </c>
      <c r="EI66">
        <v>1</v>
      </c>
      <c r="EJ66">
        <v>0</v>
      </c>
      <c r="EK66">
        <v>4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3</v>
      </c>
      <c r="ES66">
        <v>2</v>
      </c>
      <c r="ET66">
        <v>0</v>
      </c>
      <c r="EU66">
        <v>2</v>
      </c>
      <c r="EV66">
        <v>1</v>
      </c>
      <c r="EW66">
        <v>1</v>
      </c>
      <c r="EX66">
        <v>0</v>
      </c>
      <c r="EY66">
        <v>1</v>
      </c>
      <c r="EZ66">
        <v>0</v>
      </c>
      <c r="FA66">
        <v>1</v>
      </c>
      <c r="FB66">
        <v>0</v>
      </c>
      <c r="FC66">
        <v>0</v>
      </c>
      <c r="FD66">
        <v>0</v>
      </c>
      <c r="FE66">
        <v>0</v>
      </c>
      <c r="FF66">
        <v>1</v>
      </c>
      <c r="FG66">
        <f t="shared" ref="FG66:FG95" si="26">SUM(DZ66:FF66)</f>
        <v>21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f t="shared" ref="FN66:FN95" si="27">SUM(FH66:FM66)</f>
        <v>0</v>
      </c>
      <c r="FO66">
        <f t="shared" si="17"/>
        <v>35</v>
      </c>
      <c r="FP66">
        <v>12</v>
      </c>
      <c r="FQ66">
        <v>5</v>
      </c>
      <c r="FR66">
        <v>3</v>
      </c>
      <c r="FS66">
        <v>6</v>
      </c>
      <c r="FT66">
        <v>3</v>
      </c>
      <c r="FU66">
        <v>2</v>
      </c>
      <c r="FV66">
        <v>5</v>
      </c>
      <c r="FW66">
        <v>6</v>
      </c>
      <c r="FX66">
        <f t="shared" si="18"/>
        <v>30</v>
      </c>
      <c r="FY66">
        <v>0</v>
      </c>
      <c r="FZ66">
        <f t="shared" ref="FZ66:FZ95" si="28">IF($G66&lt;=50,$FY66+0,IF(AND($G66&lt;60,$G66&gt;50),$FY66+1,IF(AND($G66&lt;70,$G66&gt;60),$FY66+2,IF(AND($G66&lt;80,$G66&gt;70),$FY66+3,IF(AND($G66&lt;90,$G66&gt;80),$FY66+4,IF($G66&gt;=90,$FY66+5,""))))))</f>
        <v>2</v>
      </c>
      <c r="GA66">
        <v>1</v>
      </c>
    </row>
    <row r="67" spans="1:183" x14ac:dyDescent="0.2">
      <c r="A67">
        <v>66</v>
      </c>
      <c r="B67">
        <v>1</v>
      </c>
      <c r="C67">
        <v>1</v>
      </c>
      <c r="D67">
        <v>1</v>
      </c>
      <c r="E67" s="2">
        <v>24821</v>
      </c>
      <c r="F67" s="2">
        <v>44672</v>
      </c>
      <c r="G67" s="3">
        <f t="shared" si="22"/>
        <v>54.333333333333336</v>
      </c>
      <c r="H67">
        <v>51</v>
      </c>
      <c r="I67" s="3">
        <f t="shared" si="23"/>
        <v>3.3333333333333357</v>
      </c>
      <c r="J67">
        <v>0</v>
      </c>
      <c r="K67">
        <v>1</v>
      </c>
      <c r="L67">
        <v>1</v>
      </c>
      <c r="M67">
        <v>0</v>
      </c>
      <c r="N67">
        <v>2</v>
      </c>
      <c r="O67">
        <v>0</v>
      </c>
      <c r="P67">
        <v>3</v>
      </c>
      <c r="Q67">
        <v>4</v>
      </c>
      <c r="R67">
        <v>3</v>
      </c>
      <c r="S67">
        <v>0</v>
      </c>
      <c r="T67">
        <v>0</v>
      </c>
      <c r="U67">
        <v>0</v>
      </c>
      <c r="V67">
        <v>1</v>
      </c>
      <c r="W67">
        <v>1</v>
      </c>
      <c r="X67">
        <v>0</v>
      </c>
      <c r="Y67">
        <v>1</v>
      </c>
      <c r="Z67">
        <v>0</v>
      </c>
      <c r="AA67">
        <v>0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f>AJ67*ledd!$B$2+AK67*ledd!$B$3+AL67*ledd!$B$4+AM67*ledd!$B$5+AN67*ledd!$B$6+AO67*ledd!$B$7+AP67*ledd!$B$8+AQ67*ledd!$B$9+AR67*ledd!$B$10+AS67*ledd!$B$11+AT67*ledd!$B$12+AU67*ledd!$B$13+AV67*ledd!$B$14+AW67*ledd!$B$15+AX67*ledd!$B$16</f>
        <v>460</v>
      </c>
      <c r="AJ67">
        <v>300</v>
      </c>
      <c r="AK67">
        <v>0</v>
      </c>
      <c r="AL67">
        <v>0</v>
      </c>
      <c r="AM67">
        <v>0</v>
      </c>
      <c r="AN67">
        <v>0</v>
      </c>
      <c r="AO67">
        <v>8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2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1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1</v>
      </c>
      <c r="BN67" s="3">
        <v>0</v>
      </c>
      <c r="BO67" s="3">
        <v>1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1</v>
      </c>
      <c r="BV67" s="3">
        <v>1</v>
      </c>
      <c r="BW67" s="3">
        <v>1</v>
      </c>
      <c r="BX67" s="3">
        <v>0</v>
      </c>
      <c r="BY67" s="3">
        <v>1</v>
      </c>
      <c r="BZ67" s="3">
        <v>0</v>
      </c>
      <c r="CA67" s="3">
        <v>0</v>
      </c>
      <c r="CB67" s="3">
        <v>0</v>
      </c>
      <c r="CC67" s="3">
        <v>0</v>
      </c>
      <c r="CD67" s="3">
        <v>1</v>
      </c>
      <c r="CE67" s="3">
        <v>1</v>
      </c>
      <c r="CF67" s="3">
        <v>0</v>
      </c>
      <c r="CG67" s="3">
        <v>1</v>
      </c>
      <c r="CH67" s="3">
        <v>0</v>
      </c>
      <c r="CI67" s="3">
        <v>1</v>
      </c>
      <c r="CJ67" s="3">
        <v>0</v>
      </c>
      <c r="CK67" s="3">
        <v>0</v>
      </c>
      <c r="CL67" s="3">
        <v>0</v>
      </c>
      <c r="CM67" s="3">
        <f t="shared" ref="CM67:CM95" si="29">(SUM(AZ67:BI67)*100/40)</f>
        <v>2.5</v>
      </c>
      <c r="CN67" s="3">
        <f t="shared" ref="CN67:CN95" si="30">SUM(BJ67:BO67)*100/24</f>
        <v>8.3333333333333339</v>
      </c>
      <c r="CO67" s="3">
        <f t="shared" ref="CO67:CO95" si="31">SUM(BP67:BU67)*100/24</f>
        <v>4.166666666666667</v>
      </c>
      <c r="CP67" s="3">
        <f t="shared" ref="CP67:CP95" si="32">SUM(BV67:BY67)*100/16</f>
        <v>18.75</v>
      </c>
      <c r="CQ67" s="3">
        <f t="shared" ref="CQ67:CQ95" si="33">SUM(BZ67:CB67)*100/12</f>
        <v>0</v>
      </c>
      <c r="CR67" s="3">
        <f t="shared" ref="CR67:CR95" si="34">SUM(CC67:CF67)*100/16</f>
        <v>12.5</v>
      </c>
      <c r="CS67">
        <f t="shared" ref="CS67:CS95" si="35">SUM(CG67:CI67)*100/12</f>
        <v>16.666666666666668</v>
      </c>
      <c r="CT67">
        <f t="shared" ref="CT67:CT95" si="36">SUM(CJ67:CL67)*100/12</f>
        <v>0</v>
      </c>
      <c r="CU67">
        <f t="shared" ref="CU67:CU95" si="37">SUM(CM67:CT67)/8</f>
        <v>7.8645833333333339</v>
      </c>
      <c r="CV67">
        <v>1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1</v>
      </c>
      <c r="DG67">
        <v>0</v>
      </c>
      <c r="DH67">
        <v>0</v>
      </c>
      <c r="DI67">
        <v>0</v>
      </c>
      <c r="DJ67">
        <v>0</v>
      </c>
      <c r="DK67">
        <f t="shared" si="24"/>
        <v>2</v>
      </c>
      <c r="DL67">
        <v>0</v>
      </c>
      <c r="DM67">
        <v>2</v>
      </c>
      <c r="DN67">
        <v>1</v>
      </c>
      <c r="DO67">
        <v>0</v>
      </c>
      <c r="DP67">
        <v>0</v>
      </c>
      <c r="DQ67">
        <v>0</v>
      </c>
      <c r="DR67">
        <v>1</v>
      </c>
      <c r="DS67">
        <v>0</v>
      </c>
      <c r="DT67">
        <v>0</v>
      </c>
      <c r="DU67">
        <v>2</v>
      </c>
      <c r="DV67">
        <v>0</v>
      </c>
      <c r="DW67">
        <v>0</v>
      </c>
      <c r="DX67">
        <v>0</v>
      </c>
      <c r="DY67">
        <f t="shared" si="25"/>
        <v>6</v>
      </c>
      <c r="DZ67">
        <v>0</v>
      </c>
      <c r="EA67">
        <v>1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1</v>
      </c>
      <c r="EI67">
        <v>0</v>
      </c>
      <c r="EJ67">
        <v>0</v>
      </c>
      <c r="EK67">
        <v>0</v>
      </c>
      <c r="EL67">
        <v>1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1</v>
      </c>
      <c r="ES67">
        <v>0</v>
      </c>
      <c r="ET67">
        <v>0</v>
      </c>
      <c r="EU67">
        <v>1</v>
      </c>
      <c r="EV67">
        <v>0</v>
      </c>
      <c r="EW67">
        <v>0</v>
      </c>
      <c r="EX67">
        <v>1</v>
      </c>
      <c r="EY67">
        <v>0</v>
      </c>
      <c r="EZ67">
        <v>0</v>
      </c>
      <c r="FA67">
        <v>0</v>
      </c>
      <c r="FB67">
        <v>1</v>
      </c>
      <c r="FC67">
        <v>0</v>
      </c>
      <c r="FD67">
        <v>0</v>
      </c>
      <c r="FE67">
        <v>0</v>
      </c>
      <c r="FF67">
        <v>1</v>
      </c>
      <c r="FG67">
        <f t="shared" si="26"/>
        <v>8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f t="shared" si="27"/>
        <v>0</v>
      </c>
      <c r="FO67">
        <f t="shared" ref="FO67:FO95" si="38">SUM(DK67,DY67,FG67,FN67)</f>
        <v>16</v>
      </c>
      <c r="FP67">
        <v>10</v>
      </c>
      <c r="FQ67">
        <v>5</v>
      </c>
      <c r="FR67">
        <v>3</v>
      </c>
      <c r="FS67">
        <v>6</v>
      </c>
      <c r="FT67">
        <v>3</v>
      </c>
      <c r="FU67">
        <v>2</v>
      </c>
      <c r="FV67">
        <v>5</v>
      </c>
      <c r="FW67">
        <v>6</v>
      </c>
      <c r="FX67">
        <f t="shared" si="18"/>
        <v>30</v>
      </c>
      <c r="FY67">
        <v>0</v>
      </c>
      <c r="FZ67">
        <f t="shared" si="28"/>
        <v>1</v>
      </c>
      <c r="GA67">
        <v>0</v>
      </c>
    </row>
    <row r="68" spans="1:183" x14ac:dyDescent="0.2">
      <c r="A68">
        <v>67</v>
      </c>
      <c r="B68">
        <v>1</v>
      </c>
      <c r="C68">
        <v>1</v>
      </c>
      <c r="D68">
        <v>1</v>
      </c>
      <c r="E68" s="2">
        <v>26493</v>
      </c>
      <c r="F68" s="2">
        <v>44678</v>
      </c>
      <c r="G68" s="3">
        <f t="shared" si="22"/>
        <v>49.75</v>
      </c>
      <c r="H68">
        <v>47</v>
      </c>
      <c r="I68" s="3">
        <f t="shared" si="23"/>
        <v>2.75</v>
      </c>
      <c r="J68">
        <v>0</v>
      </c>
      <c r="K68">
        <v>1</v>
      </c>
      <c r="L68">
        <v>0</v>
      </c>
      <c r="M68">
        <v>0</v>
      </c>
      <c r="N68">
        <v>6</v>
      </c>
      <c r="O68">
        <v>0</v>
      </c>
      <c r="P68">
        <v>1</v>
      </c>
      <c r="Q68">
        <v>2</v>
      </c>
      <c r="R68">
        <v>1</v>
      </c>
      <c r="S68">
        <v>0</v>
      </c>
      <c r="T68">
        <v>0</v>
      </c>
      <c r="U68">
        <v>0</v>
      </c>
      <c r="V68">
        <v>1</v>
      </c>
      <c r="W68">
        <v>1</v>
      </c>
      <c r="X68">
        <v>2</v>
      </c>
      <c r="Y68">
        <v>2</v>
      </c>
      <c r="Z68">
        <v>0</v>
      </c>
      <c r="AA68">
        <v>2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f>AJ68*ledd!$B$2+AK68*ledd!$B$3+AL68*ledd!$B$4+AM68*ledd!$B$5+AN68*ledd!$B$6+AO68*ledd!$B$7+AP68*ledd!$B$8+AQ68*ledd!$B$9+AR68*ledd!$B$10+AS68*ledd!$B$11+AT68*ledd!$B$12+AU68*ledd!$B$13+AV68*ledd!$B$14+AW68*ledd!$B$15+AX68*ledd!$B$16</f>
        <v>300</v>
      </c>
      <c r="AJ68">
        <v>300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2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1</v>
      </c>
      <c r="BM68" s="3">
        <v>3</v>
      </c>
      <c r="BN68" s="3">
        <v>1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1</v>
      </c>
      <c r="BV68" s="3">
        <v>0</v>
      </c>
      <c r="BW68" s="3">
        <v>0</v>
      </c>
      <c r="BX68" s="3">
        <v>0</v>
      </c>
      <c r="BY68" s="3">
        <v>0</v>
      </c>
      <c r="BZ68" s="3">
        <v>1</v>
      </c>
      <c r="CA68" s="3">
        <v>0</v>
      </c>
      <c r="CB68" s="3">
        <v>0</v>
      </c>
      <c r="CC68" s="3">
        <v>1</v>
      </c>
      <c r="CD68" s="3">
        <v>2</v>
      </c>
      <c r="CE68" s="3">
        <v>1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1</v>
      </c>
      <c r="CL68" s="3">
        <v>0</v>
      </c>
      <c r="CM68" s="3">
        <f t="shared" si="29"/>
        <v>0</v>
      </c>
      <c r="CN68" s="3">
        <f t="shared" si="30"/>
        <v>20.833333333333332</v>
      </c>
      <c r="CO68" s="3">
        <f t="shared" si="31"/>
        <v>4.166666666666667</v>
      </c>
      <c r="CP68" s="3">
        <f t="shared" si="32"/>
        <v>0</v>
      </c>
      <c r="CQ68" s="3">
        <f t="shared" si="33"/>
        <v>8.3333333333333339</v>
      </c>
      <c r="CR68" s="3">
        <f t="shared" si="34"/>
        <v>25</v>
      </c>
      <c r="CS68">
        <f t="shared" si="35"/>
        <v>0</v>
      </c>
      <c r="CT68">
        <f t="shared" si="36"/>
        <v>8.3333333333333339</v>
      </c>
      <c r="CU68">
        <f t="shared" si="37"/>
        <v>8.3333333333333339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1</v>
      </c>
      <c r="DE68">
        <v>0</v>
      </c>
      <c r="DF68">
        <v>1</v>
      </c>
      <c r="DG68">
        <v>0</v>
      </c>
      <c r="DH68">
        <v>0</v>
      </c>
      <c r="DI68">
        <v>1</v>
      </c>
      <c r="DJ68">
        <v>0</v>
      </c>
      <c r="DK68">
        <f t="shared" si="24"/>
        <v>3</v>
      </c>
      <c r="DL68">
        <v>0</v>
      </c>
      <c r="DM68">
        <v>2</v>
      </c>
      <c r="DN68">
        <v>0</v>
      </c>
      <c r="DO68">
        <v>1</v>
      </c>
      <c r="DP68">
        <v>0</v>
      </c>
      <c r="DQ68">
        <v>0</v>
      </c>
      <c r="DR68">
        <v>3</v>
      </c>
      <c r="DS68">
        <v>0</v>
      </c>
      <c r="DT68">
        <v>0</v>
      </c>
      <c r="DU68">
        <v>1</v>
      </c>
      <c r="DV68">
        <v>0</v>
      </c>
      <c r="DW68">
        <v>0</v>
      </c>
      <c r="DX68">
        <v>1</v>
      </c>
      <c r="DY68">
        <f t="shared" si="25"/>
        <v>8</v>
      </c>
      <c r="DZ68">
        <v>0</v>
      </c>
      <c r="EA68">
        <v>1</v>
      </c>
      <c r="EB68">
        <v>0</v>
      </c>
      <c r="EC68">
        <v>2</v>
      </c>
      <c r="ED68">
        <v>2</v>
      </c>
      <c r="EE68">
        <v>1</v>
      </c>
      <c r="EF68">
        <v>1</v>
      </c>
      <c r="EG68">
        <v>2</v>
      </c>
      <c r="EH68">
        <v>1</v>
      </c>
      <c r="EI68">
        <v>1</v>
      </c>
      <c r="EJ68">
        <v>0</v>
      </c>
      <c r="EK68">
        <v>1</v>
      </c>
      <c r="EL68">
        <v>0</v>
      </c>
      <c r="EM68">
        <v>0</v>
      </c>
      <c r="EN68">
        <v>1</v>
      </c>
      <c r="EO68">
        <v>0</v>
      </c>
      <c r="EP68">
        <v>0</v>
      </c>
      <c r="EQ68">
        <v>0</v>
      </c>
      <c r="ER68">
        <v>1</v>
      </c>
      <c r="ES68">
        <v>0</v>
      </c>
      <c r="ET68">
        <v>0</v>
      </c>
      <c r="EU68">
        <v>1</v>
      </c>
      <c r="EV68">
        <v>2</v>
      </c>
      <c r="EW68">
        <v>0</v>
      </c>
      <c r="EX68">
        <v>1</v>
      </c>
      <c r="EY68">
        <v>0</v>
      </c>
      <c r="EZ68">
        <v>0</v>
      </c>
      <c r="FA68">
        <v>0</v>
      </c>
      <c r="FB68">
        <v>1</v>
      </c>
      <c r="FC68">
        <v>0</v>
      </c>
      <c r="FD68">
        <v>1</v>
      </c>
      <c r="FE68">
        <v>0</v>
      </c>
      <c r="FF68">
        <v>3</v>
      </c>
      <c r="FG68">
        <f t="shared" si="26"/>
        <v>23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f t="shared" si="27"/>
        <v>0</v>
      </c>
      <c r="FO68">
        <f t="shared" si="38"/>
        <v>34</v>
      </c>
      <c r="FP68">
        <v>5</v>
      </c>
      <c r="FQ68">
        <v>5</v>
      </c>
      <c r="FR68">
        <v>3</v>
      </c>
      <c r="FS68">
        <v>6</v>
      </c>
      <c r="FT68">
        <v>3</v>
      </c>
      <c r="FU68">
        <v>2</v>
      </c>
      <c r="FV68">
        <v>3</v>
      </c>
      <c r="FW68">
        <v>6</v>
      </c>
      <c r="FX68">
        <f t="shared" si="18"/>
        <v>28</v>
      </c>
      <c r="FY68">
        <v>0</v>
      </c>
      <c r="FZ68">
        <f t="shared" si="28"/>
        <v>0</v>
      </c>
      <c r="GA68">
        <v>0</v>
      </c>
    </row>
    <row r="69" spans="1:183" x14ac:dyDescent="0.2">
      <c r="A69">
        <v>68</v>
      </c>
      <c r="B69">
        <v>1</v>
      </c>
      <c r="C69">
        <v>1</v>
      </c>
      <c r="D69">
        <v>0</v>
      </c>
      <c r="E69" s="2">
        <v>24107</v>
      </c>
      <c r="F69" s="2">
        <v>44691</v>
      </c>
      <c r="G69" s="3">
        <f t="shared" si="22"/>
        <v>56.333333333333336</v>
      </c>
      <c r="H69">
        <v>44</v>
      </c>
      <c r="I69" s="3">
        <f t="shared" si="23"/>
        <v>12.333333333333336</v>
      </c>
      <c r="J69">
        <v>0</v>
      </c>
      <c r="K69">
        <v>3</v>
      </c>
      <c r="L69">
        <v>8</v>
      </c>
      <c r="M69">
        <v>0</v>
      </c>
      <c r="N69">
        <v>2</v>
      </c>
      <c r="O69">
        <v>0</v>
      </c>
      <c r="P69">
        <v>1</v>
      </c>
      <c r="Q69">
        <v>3</v>
      </c>
      <c r="R69">
        <v>2</v>
      </c>
      <c r="S69">
        <v>1</v>
      </c>
      <c r="T69">
        <v>0</v>
      </c>
      <c r="U69">
        <v>0</v>
      </c>
      <c r="V69">
        <v>1</v>
      </c>
      <c r="W69">
        <v>1</v>
      </c>
      <c r="X69">
        <v>3</v>
      </c>
      <c r="Y69">
        <v>2</v>
      </c>
      <c r="Z69">
        <v>0</v>
      </c>
      <c r="AA69">
        <v>2</v>
      </c>
      <c r="AB69">
        <v>0</v>
      </c>
      <c r="AC69">
        <v>0</v>
      </c>
      <c r="AD69">
        <v>6</v>
      </c>
      <c r="AE69">
        <v>1</v>
      </c>
      <c r="AF69">
        <v>0</v>
      </c>
      <c r="AG69">
        <v>0</v>
      </c>
      <c r="AH69">
        <v>0</v>
      </c>
      <c r="AI69">
        <f>AJ69*ledd!$B$2+AK69*ledd!$B$3+AL69*ledd!$B$4+AM69*ledd!$B$5+AN69*ledd!$B$6+AO69*ledd!$B$7+AP69*ledd!$B$8+AQ69*ledd!$B$9+AR69*ledd!$B$10+AS69*ledd!$B$11+AT69*ledd!$B$12+AU69*ledd!$B$13+AV69*ledd!$B$14+AW69*ledd!$B$15+AX69*ledd!$B$16</f>
        <v>840</v>
      </c>
      <c r="AJ69">
        <v>250</v>
      </c>
      <c r="AK69">
        <v>0</v>
      </c>
      <c r="AL69">
        <v>1000</v>
      </c>
      <c r="AM69">
        <v>0</v>
      </c>
      <c r="AN69">
        <v>0</v>
      </c>
      <c r="AO69">
        <v>8</v>
      </c>
      <c r="AP69">
        <v>0</v>
      </c>
      <c r="AQ69">
        <v>0</v>
      </c>
      <c r="AR69">
        <v>0</v>
      </c>
      <c r="AS69">
        <v>0</v>
      </c>
      <c r="AT69">
        <v>100</v>
      </c>
      <c r="AU69">
        <v>0</v>
      </c>
      <c r="AV69">
        <v>0</v>
      </c>
      <c r="AW69">
        <v>0</v>
      </c>
      <c r="AX69">
        <v>0</v>
      </c>
      <c r="AY69">
        <v>2</v>
      </c>
      <c r="AZ69" s="3">
        <v>1</v>
      </c>
      <c r="BA69" s="3">
        <v>1</v>
      </c>
      <c r="BB69" s="3">
        <v>1</v>
      </c>
      <c r="BC69" s="3">
        <v>2</v>
      </c>
      <c r="BD69" s="3">
        <v>2</v>
      </c>
      <c r="BE69" s="3">
        <v>1</v>
      </c>
      <c r="BF69" s="3">
        <v>2</v>
      </c>
      <c r="BG69" s="3">
        <v>0</v>
      </c>
      <c r="BH69" s="3">
        <v>1</v>
      </c>
      <c r="BI69" s="3">
        <v>1</v>
      </c>
      <c r="BJ69" s="3">
        <v>0</v>
      </c>
      <c r="BK69" s="3">
        <v>1</v>
      </c>
      <c r="BL69" s="3">
        <v>1</v>
      </c>
      <c r="BM69" s="3">
        <v>3</v>
      </c>
      <c r="BN69" s="3">
        <v>1</v>
      </c>
      <c r="BO69" s="3">
        <v>1</v>
      </c>
      <c r="BP69" s="3">
        <v>2</v>
      </c>
      <c r="BQ69" s="3">
        <v>1</v>
      </c>
      <c r="BR69" s="3">
        <v>1</v>
      </c>
      <c r="BS69" s="3">
        <v>1</v>
      </c>
      <c r="BT69" s="3">
        <v>2</v>
      </c>
      <c r="BU69" s="3">
        <v>2</v>
      </c>
      <c r="BV69" s="3">
        <v>1</v>
      </c>
      <c r="BW69" s="3">
        <v>0</v>
      </c>
      <c r="BX69" s="3">
        <v>1</v>
      </c>
      <c r="BY69" s="3">
        <v>2</v>
      </c>
      <c r="BZ69" s="3">
        <v>0</v>
      </c>
      <c r="CA69" s="3">
        <v>0</v>
      </c>
      <c r="CB69" s="3">
        <v>0</v>
      </c>
      <c r="CC69" s="3">
        <v>0</v>
      </c>
      <c r="CD69" s="3">
        <v>1</v>
      </c>
      <c r="CE69" s="3">
        <v>1</v>
      </c>
      <c r="CF69" s="3">
        <v>0</v>
      </c>
      <c r="CG69" s="3">
        <v>2</v>
      </c>
      <c r="CH69" s="3">
        <v>2</v>
      </c>
      <c r="CI69" s="3">
        <v>0</v>
      </c>
      <c r="CJ69" s="3">
        <v>3</v>
      </c>
      <c r="CK69" s="3">
        <v>4</v>
      </c>
      <c r="CL69" s="3">
        <v>0</v>
      </c>
      <c r="CM69" s="3">
        <f t="shared" si="29"/>
        <v>30</v>
      </c>
      <c r="CN69" s="3">
        <f t="shared" si="30"/>
        <v>29.166666666666668</v>
      </c>
      <c r="CO69" s="3">
        <f t="shared" si="31"/>
        <v>37.5</v>
      </c>
      <c r="CP69" s="3">
        <f t="shared" si="32"/>
        <v>25</v>
      </c>
      <c r="CQ69" s="3">
        <f t="shared" si="33"/>
        <v>0</v>
      </c>
      <c r="CR69" s="3">
        <f t="shared" si="34"/>
        <v>12.5</v>
      </c>
      <c r="CS69">
        <f t="shared" si="35"/>
        <v>33.333333333333336</v>
      </c>
      <c r="CT69">
        <f t="shared" si="36"/>
        <v>58.333333333333336</v>
      </c>
      <c r="CU69">
        <f t="shared" si="37"/>
        <v>28.229166666666671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3</v>
      </c>
      <c r="DD69">
        <v>0</v>
      </c>
      <c r="DE69">
        <v>2</v>
      </c>
      <c r="DF69">
        <v>0</v>
      </c>
      <c r="DG69">
        <v>0</v>
      </c>
      <c r="DH69">
        <v>0</v>
      </c>
      <c r="DI69">
        <v>1</v>
      </c>
      <c r="DJ69">
        <v>0</v>
      </c>
      <c r="DK69">
        <f t="shared" si="24"/>
        <v>6</v>
      </c>
      <c r="DL69">
        <v>2</v>
      </c>
      <c r="DM69">
        <v>0</v>
      </c>
      <c r="DN69">
        <v>2</v>
      </c>
      <c r="DO69">
        <v>0</v>
      </c>
      <c r="DP69">
        <v>0</v>
      </c>
      <c r="DQ69">
        <v>0</v>
      </c>
      <c r="DR69">
        <v>3</v>
      </c>
      <c r="DS69">
        <v>0</v>
      </c>
      <c r="DT69">
        <v>2</v>
      </c>
      <c r="DU69">
        <v>0</v>
      </c>
      <c r="DV69">
        <v>2</v>
      </c>
      <c r="DW69">
        <v>2</v>
      </c>
      <c r="DX69">
        <v>0</v>
      </c>
      <c r="DY69">
        <f t="shared" si="25"/>
        <v>13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2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2</v>
      </c>
      <c r="ES69">
        <v>1</v>
      </c>
      <c r="ET69">
        <v>3</v>
      </c>
      <c r="EU69">
        <v>2</v>
      </c>
      <c r="EV69">
        <v>1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f t="shared" si="26"/>
        <v>11</v>
      </c>
      <c r="FH69">
        <v>0</v>
      </c>
      <c r="FI69">
        <v>0</v>
      </c>
      <c r="FJ69">
        <v>1</v>
      </c>
      <c r="FK69">
        <v>0</v>
      </c>
      <c r="FL69">
        <v>0</v>
      </c>
      <c r="FM69">
        <v>0</v>
      </c>
      <c r="FN69">
        <f t="shared" si="27"/>
        <v>1</v>
      </c>
      <c r="FO69">
        <f t="shared" si="38"/>
        <v>31</v>
      </c>
      <c r="FP69">
        <v>8</v>
      </c>
      <c r="FQ69">
        <v>5</v>
      </c>
      <c r="FR69">
        <v>3</v>
      </c>
      <c r="FS69">
        <v>6</v>
      </c>
      <c r="FT69">
        <v>3</v>
      </c>
      <c r="FU69">
        <v>2</v>
      </c>
      <c r="FV69">
        <v>4</v>
      </c>
      <c r="FW69">
        <v>6</v>
      </c>
      <c r="FX69">
        <f t="shared" si="18"/>
        <v>29</v>
      </c>
      <c r="FY69">
        <v>0</v>
      </c>
      <c r="FZ69">
        <f t="shared" si="28"/>
        <v>1</v>
      </c>
      <c r="GA69">
        <v>1</v>
      </c>
    </row>
    <row r="70" spans="1:183" x14ac:dyDescent="0.2">
      <c r="A70">
        <v>69</v>
      </c>
      <c r="B70">
        <v>1</v>
      </c>
      <c r="C70">
        <v>1</v>
      </c>
      <c r="D70">
        <v>1</v>
      </c>
      <c r="E70" s="2">
        <v>24995</v>
      </c>
      <c r="F70" s="2">
        <v>44691</v>
      </c>
      <c r="G70" s="3">
        <f t="shared" si="22"/>
        <v>53.916666666666664</v>
      </c>
      <c r="H70">
        <v>44</v>
      </c>
      <c r="I70" s="3">
        <f t="shared" si="23"/>
        <v>9.9166666666666643</v>
      </c>
      <c r="J70">
        <v>0</v>
      </c>
      <c r="K70">
        <v>0</v>
      </c>
      <c r="L70">
        <v>8</v>
      </c>
      <c r="M70" s="5">
        <v>2</v>
      </c>
      <c r="N70" s="5" t="s">
        <v>276</v>
      </c>
      <c r="O70">
        <v>2</v>
      </c>
      <c r="P70">
        <v>0</v>
      </c>
      <c r="Q70">
        <v>3</v>
      </c>
      <c r="R70">
        <v>2</v>
      </c>
      <c r="S70">
        <v>1</v>
      </c>
      <c r="T70">
        <v>1</v>
      </c>
      <c r="U70">
        <v>0</v>
      </c>
      <c r="V70">
        <v>1</v>
      </c>
      <c r="W70">
        <v>1</v>
      </c>
      <c r="X70">
        <v>2</v>
      </c>
      <c r="Y70">
        <v>2</v>
      </c>
      <c r="Z70">
        <v>6</v>
      </c>
      <c r="AA70">
        <v>1</v>
      </c>
      <c r="AB70">
        <v>6</v>
      </c>
      <c r="AC70" s="5" t="s">
        <v>276</v>
      </c>
      <c r="AD70">
        <v>6</v>
      </c>
      <c r="AE70">
        <v>0</v>
      </c>
      <c r="AF70">
        <v>0</v>
      </c>
      <c r="AG70">
        <v>0</v>
      </c>
      <c r="AH70">
        <v>0</v>
      </c>
      <c r="AI70">
        <f>AJ70*ledd!$B$2+AK70*ledd!$B$3+AL70*ledd!$B$4+AM70*ledd!$B$5+AN70*ledd!$B$6+AO70*ledd!$B$7+AP70*ledd!$B$8+AQ70*ledd!$B$9+AR70*ledd!$B$10+AS70*ledd!$B$11+AT70*ledd!$B$12+AU70*ledd!$B$13+AV70*ledd!$B$14+AW70*ledd!$B$15+AX70*ledd!$B$16</f>
        <v>575</v>
      </c>
      <c r="AJ70">
        <v>500</v>
      </c>
      <c r="AK70">
        <v>100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4</v>
      </c>
      <c r="AZ70" s="3">
        <v>2</v>
      </c>
      <c r="BA70" s="3">
        <v>0</v>
      </c>
      <c r="BB70" s="3">
        <v>3</v>
      </c>
      <c r="BC70" s="3">
        <v>3</v>
      </c>
      <c r="BD70" s="3">
        <v>0</v>
      </c>
      <c r="BE70" s="3">
        <v>0</v>
      </c>
      <c r="BF70" s="3">
        <v>0</v>
      </c>
      <c r="BG70" s="3">
        <v>0</v>
      </c>
      <c r="BH70" s="3">
        <v>2</v>
      </c>
      <c r="BI70" s="3">
        <v>3</v>
      </c>
      <c r="BJ70" s="3">
        <v>3</v>
      </c>
      <c r="BK70" s="3">
        <v>3</v>
      </c>
      <c r="BL70" s="3">
        <v>3</v>
      </c>
      <c r="BM70" s="3">
        <v>3</v>
      </c>
      <c r="BN70" s="3">
        <v>2</v>
      </c>
      <c r="BO70" s="3">
        <v>0</v>
      </c>
      <c r="BP70" s="3">
        <v>2</v>
      </c>
      <c r="BQ70" s="3">
        <v>1</v>
      </c>
      <c r="BR70" s="3">
        <v>1</v>
      </c>
      <c r="BS70" s="3">
        <v>1</v>
      </c>
      <c r="BT70" s="3">
        <v>2</v>
      </c>
      <c r="BU70" s="3">
        <v>3</v>
      </c>
      <c r="BV70" s="3">
        <v>0</v>
      </c>
      <c r="BW70" s="3">
        <v>1</v>
      </c>
      <c r="BX70" s="3">
        <v>0</v>
      </c>
      <c r="BY70" s="3">
        <v>0</v>
      </c>
      <c r="BZ70" s="3">
        <v>2</v>
      </c>
      <c r="CA70" s="3">
        <v>0</v>
      </c>
      <c r="CB70" s="3">
        <v>2</v>
      </c>
      <c r="CC70" s="3">
        <v>1</v>
      </c>
      <c r="CD70" s="3">
        <v>2</v>
      </c>
      <c r="CE70" s="3">
        <v>2</v>
      </c>
      <c r="CF70" s="3">
        <v>1</v>
      </c>
      <c r="CG70" s="3">
        <v>0</v>
      </c>
      <c r="CH70" s="3">
        <v>0</v>
      </c>
      <c r="CI70" s="3">
        <v>1</v>
      </c>
      <c r="CJ70" s="3">
        <v>4</v>
      </c>
      <c r="CK70" s="3">
        <v>4</v>
      </c>
      <c r="CL70" s="3">
        <v>0</v>
      </c>
      <c r="CM70" s="3">
        <f t="shared" si="29"/>
        <v>32.5</v>
      </c>
      <c r="CN70" s="3">
        <f t="shared" si="30"/>
        <v>58.333333333333336</v>
      </c>
      <c r="CO70" s="3">
        <f t="shared" si="31"/>
        <v>41.666666666666664</v>
      </c>
      <c r="CP70" s="3">
        <f t="shared" si="32"/>
        <v>6.25</v>
      </c>
      <c r="CQ70" s="3">
        <f t="shared" si="33"/>
        <v>33.333333333333336</v>
      </c>
      <c r="CR70" s="3">
        <f t="shared" si="34"/>
        <v>37.5</v>
      </c>
      <c r="CS70">
        <f t="shared" si="35"/>
        <v>8.3333333333333339</v>
      </c>
      <c r="CT70">
        <f t="shared" si="36"/>
        <v>66.666666666666671</v>
      </c>
      <c r="CU70">
        <f t="shared" si="37"/>
        <v>35.572916666666671</v>
      </c>
      <c r="CV70">
        <v>1</v>
      </c>
      <c r="CW70">
        <v>0</v>
      </c>
      <c r="CX70">
        <v>3</v>
      </c>
      <c r="CY70">
        <v>0</v>
      </c>
      <c r="CZ70">
        <v>1</v>
      </c>
      <c r="DA70">
        <v>0</v>
      </c>
      <c r="DB70">
        <v>0</v>
      </c>
      <c r="DC70">
        <v>0</v>
      </c>
      <c r="DD70">
        <v>1</v>
      </c>
      <c r="DE70">
        <v>4</v>
      </c>
      <c r="DF70">
        <v>2</v>
      </c>
      <c r="DG70">
        <v>1</v>
      </c>
      <c r="DH70">
        <v>3</v>
      </c>
      <c r="DI70">
        <v>2</v>
      </c>
      <c r="DJ70">
        <v>0</v>
      </c>
      <c r="DK70">
        <f t="shared" si="24"/>
        <v>18</v>
      </c>
      <c r="DL70">
        <v>1</v>
      </c>
      <c r="DM70">
        <v>1</v>
      </c>
      <c r="DN70">
        <v>1</v>
      </c>
      <c r="DO70">
        <v>0</v>
      </c>
      <c r="DP70">
        <v>2</v>
      </c>
      <c r="DQ70">
        <v>0</v>
      </c>
      <c r="DR70">
        <v>4</v>
      </c>
      <c r="DS70">
        <v>4</v>
      </c>
      <c r="DT70">
        <v>4</v>
      </c>
      <c r="DU70">
        <v>1</v>
      </c>
      <c r="DV70">
        <v>4</v>
      </c>
      <c r="DW70">
        <v>4</v>
      </c>
      <c r="DX70">
        <v>3</v>
      </c>
      <c r="DY70">
        <f t="shared" si="25"/>
        <v>29</v>
      </c>
      <c r="DZ70">
        <v>1</v>
      </c>
      <c r="EA70">
        <v>0</v>
      </c>
      <c r="EB70">
        <v>1</v>
      </c>
      <c r="EC70">
        <v>2</v>
      </c>
      <c r="ED70">
        <v>2</v>
      </c>
      <c r="EE70">
        <v>2</v>
      </c>
      <c r="EF70">
        <v>2</v>
      </c>
      <c r="EG70">
        <v>0</v>
      </c>
      <c r="EH70">
        <v>0</v>
      </c>
      <c r="EI70">
        <v>11</v>
      </c>
      <c r="EJ70">
        <v>1</v>
      </c>
      <c r="EK70">
        <v>3</v>
      </c>
      <c r="EL70">
        <v>3</v>
      </c>
      <c r="EM70">
        <v>4</v>
      </c>
      <c r="EN70">
        <v>3</v>
      </c>
      <c r="EO70">
        <v>3</v>
      </c>
      <c r="EP70">
        <v>3</v>
      </c>
      <c r="EQ70">
        <v>2</v>
      </c>
      <c r="ER70">
        <v>3</v>
      </c>
      <c r="ES70">
        <v>3</v>
      </c>
      <c r="ET70">
        <v>3</v>
      </c>
      <c r="EU70">
        <v>4</v>
      </c>
      <c r="EV70">
        <v>3</v>
      </c>
      <c r="EW70">
        <v>1</v>
      </c>
      <c r="EX70">
        <v>1</v>
      </c>
      <c r="EY70">
        <v>0</v>
      </c>
      <c r="EZ70">
        <v>0</v>
      </c>
      <c r="FA70">
        <v>1</v>
      </c>
      <c r="FB70">
        <v>1</v>
      </c>
      <c r="FC70">
        <v>0</v>
      </c>
      <c r="FD70">
        <v>0</v>
      </c>
      <c r="FE70">
        <v>0</v>
      </c>
      <c r="FF70">
        <v>1</v>
      </c>
      <c r="FG70">
        <f t="shared" si="26"/>
        <v>64</v>
      </c>
      <c r="FH70">
        <v>1</v>
      </c>
      <c r="FI70">
        <v>1</v>
      </c>
      <c r="FJ70">
        <v>1</v>
      </c>
      <c r="FK70">
        <v>3</v>
      </c>
      <c r="FL70">
        <v>2</v>
      </c>
      <c r="FM70">
        <v>2</v>
      </c>
      <c r="FN70">
        <f t="shared" si="27"/>
        <v>10</v>
      </c>
      <c r="FO70">
        <f t="shared" si="38"/>
        <v>121</v>
      </c>
      <c r="FP70">
        <v>7</v>
      </c>
      <c r="FQ70">
        <v>3</v>
      </c>
      <c r="FR70">
        <v>3</v>
      </c>
      <c r="FS70">
        <v>4</v>
      </c>
      <c r="FT70">
        <v>2</v>
      </c>
      <c r="FU70">
        <v>2</v>
      </c>
      <c r="FV70">
        <v>3</v>
      </c>
      <c r="FW70">
        <v>6</v>
      </c>
      <c r="FX70">
        <f t="shared" si="18"/>
        <v>23</v>
      </c>
      <c r="FY70">
        <v>0</v>
      </c>
      <c r="FZ70">
        <f t="shared" si="28"/>
        <v>1</v>
      </c>
      <c r="GA70">
        <v>0</v>
      </c>
    </row>
    <row r="71" spans="1:183" x14ac:dyDescent="0.2">
      <c r="A71">
        <v>70</v>
      </c>
      <c r="B71">
        <v>1</v>
      </c>
      <c r="C71">
        <v>1</v>
      </c>
      <c r="D71">
        <v>1</v>
      </c>
      <c r="E71" s="2">
        <v>17123</v>
      </c>
      <c r="F71" s="2">
        <v>44697</v>
      </c>
      <c r="G71" s="3">
        <f t="shared" si="22"/>
        <v>75.416666666666671</v>
      </c>
      <c r="H71">
        <v>59</v>
      </c>
      <c r="I71" s="3">
        <f t="shared" si="23"/>
        <v>16.416666666666671</v>
      </c>
      <c r="J71">
        <v>0</v>
      </c>
      <c r="K71">
        <v>1</v>
      </c>
      <c r="L71">
        <v>8</v>
      </c>
      <c r="M71">
        <v>0</v>
      </c>
      <c r="N71">
        <v>2</v>
      </c>
      <c r="O71">
        <v>1</v>
      </c>
      <c r="P71">
        <v>1</v>
      </c>
      <c r="Q71">
        <v>2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1</v>
      </c>
      <c r="Y71">
        <v>1</v>
      </c>
      <c r="Z71">
        <v>0</v>
      </c>
      <c r="AA71">
        <v>1</v>
      </c>
      <c r="AB71">
        <v>0</v>
      </c>
      <c r="AC71">
        <v>6</v>
      </c>
      <c r="AD71">
        <v>6</v>
      </c>
      <c r="AE71">
        <v>0</v>
      </c>
      <c r="AF71">
        <v>0</v>
      </c>
      <c r="AG71">
        <v>0</v>
      </c>
      <c r="AH71">
        <v>2</v>
      </c>
      <c r="AI71">
        <f>AJ71*ledd!$B$2+AK71*ledd!$B$3+AL71*ledd!$B$4+AM71*ledd!$B$5+AN71*ledd!$B$6+AO71*ledd!$B$7+AP71*ledd!$B$8+AQ71*ledd!$B$9+AR71*ledd!$B$10+AS71*ledd!$B$11+AT71*ledd!$B$12+AU71*ledd!$B$13+AV71*ledd!$B$14+AW71*ledd!$B$15+AX71*ledd!$B$16</f>
        <v>1636</v>
      </c>
      <c r="AJ71">
        <v>1000</v>
      </c>
      <c r="AK71">
        <v>0</v>
      </c>
      <c r="AL71">
        <v>1200</v>
      </c>
      <c r="AM71">
        <v>0</v>
      </c>
      <c r="AN71">
        <v>0</v>
      </c>
      <c r="AO71">
        <v>0</v>
      </c>
      <c r="AP71">
        <v>8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4</v>
      </c>
      <c r="AZ71" s="3">
        <v>3</v>
      </c>
      <c r="BA71" s="3">
        <v>3</v>
      </c>
      <c r="BB71" s="3">
        <v>4</v>
      </c>
      <c r="BC71" s="3">
        <v>2</v>
      </c>
      <c r="BD71" s="3">
        <v>1</v>
      </c>
      <c r="BE71" s="3">
        <v>1</v>
      </c>
      <c r="BF71" s="3">
        <v>1</v>
      </c>
      <c r="BG71" s="3">
        <v>2</v>
      </c>
      <c r="BH71" s="3">
        <v>0</v>
      </c>
      <c r="BI71" s="3">
        <v>3</v>
      </c>
      <c r="BJ71" s="3">
        <v>3</v>
      </c>
      <c r="BK71" s="3">
        <v>3</v>
      </c>
      <c r="BL71" s="3">
        <v>4</v>
      </c>
      <c r="BM71" s="3">
        <v>4</v>
      </c>
      <c r="BN71" s="3">
        <v>2</v>
      </c>
      <c r="BO71" s="3">
        <v>3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1</v>
      </c>
      <c r="BV71" s="3">
        <v>0</v>
      </c>
      <c r="BW71" s="3">
        <v>1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2</v>
      </c>
      <c r="CE71" s="3">
        <v>2</v>
      </c>
      <c r="CF71" s="3">
        <v>0</v>
      </c>
      <c r="CG71" s="3">
        <v>3</v>
      </c>
      <c r="CH71" s="3">
        <v>0</v>
      </c>
      <c r="CI71" s="3">
        <v>0</v>
      </c>
      <c r="CJ71" s="3">
        <v>3</v>
      </c>
      <c r="CK71" s="3">
        <v>3</v>
      </c>
      <c r="CL71" s="3">
        <v>0</v>
      </c>
      <c r="CM71" s="3">
        <f t="shared" si="29"/>
        <v>50</v>
      </c>
      <c r="CN71" s="3">
        <f t="shared" si="30"/>
        <v>79.166666666666671</v>
      </c>
      <c r="CO71" s="3">
        <f t="shared" si="31"/>
        <v>4.166666666666667</v>
      </c>
      <c r="CP71" s="3">
        <f t="shared" si="32"/>
        <v>6.25</v>
      </c>
      <c r="CQ71" s="3">
        <f t="shared" si="33"/>
        <v>0</v>
      </c>
      <c r="CR71" s="3">
        <f t="shared" si="34"/>
        <v>25</v>
      </c>
      <c r="CS71">
        <f t="shared" si="35"/>
        <v>25</v>
      </c>
      <c r="CT71">
        <f t="shared" si="36"/>
        <v>50</v>
      </c>
      <c r="CU71">
        <f t="shared" si="37"/>
        <v>29.947916666666668</v>
      </c>
      <c r="CV71">
        <v>3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2</v>
      </c>
      <c r="DD71">
        <v>0</v>
      </c>
      <c r="DE71">
        <v>0</v>
      </c>
      <c r="DF71">
        <v>4</v>
      </c>
      <c r="DG71">
        <v>0</v>
      </c>
      <c r="DH71">
        <v>1</v>
      </c>
      <c r="DI71">
        <v>3</v>
      </c>
      <c r="DJ71">
        <v>0</v>
      </c>
      <c r="DK71">
        <f t="shared" si="24"/>
        <v>13</v>
      </c>
      <c r="DL71">
        <v>4</v>
      </c>
      <c r="DM71">
        <v>2</v>
      </c>
      <c r="DN71">
        <v>2</v>
      </c>
      <c r="DO71">
        <v>2</v>
      </c>
      <c r="DP71">
        <v>4</v>
      </c>
      <c r="DQ71">
        <v>4</v>
      </c>
      <c r="DR71">
        <v>4</v>
      </c>
      <c r="DS71">
        <v>4</v>
      </c>
      <c r="DT71">
        <v>3</v>
      </c>
      <c r="DU71">
        <v>3</v>
      </c>
      <c r="DV71">
        <v>2</v>
      </c>
      <c r="DW71">
        <v>3</v>
      </c>
      <c r="DX71">
        <v>3</v>
      </c>
      <c r="DY71">
        <f t="shared" si="25"/>
        <v>40</v>
      </c>
      <c r="DZ71">
        <v>4</v>
      </c>
      <c r="EA71">
        <v>3</v>
      </c>
      <c r="EB71">
        <v>3</v>
      </c>
      <c r="EC71">
        <v>2</v>
      </c>
      <c r="ED71">
        <v>3</v>
      </c>
      <c r="EE71">
        <v>3</v>
      </c>
      <c r="EF71">
        <v>4</v>
      </c>
      <c r="EG71">
        <v>4</v>
      </c>
      <c r="EH71">
        <v>4</v>
      </c>
      <c r="EI71">
        <v>4</v>
      </c>
      <c r="EJ71">
        <v>4</v>
      </c>
      <c r="EK71">
        <v>4</v>
      </c>
      <c r="EL71">
        <v>4</v>
      </c>
      <c r="EM71">
        <v>2</v>
      </c>
      <c r="EN71">
        <v>2</v>
      </c>
      <c r="EO71">
        <v>2</v>
      </c>
      <c r="EP71">
        <v>2</v>
      </c>
      <c r="EQ71">
        <v>2</v>
      </c>
      <c r="ER71">
        <v>2</v>
      </c>
      <c r="ES71">
        <v>2</v>
      </c>
      <c r="ET71">
        <v>2</v>
      </c>
      <c r="EU71">
        <v>3</v>
      </c>
      <c r="EV71">
        <v>2</v>
      </c>
      <c r="EW71">
        <v>1</v>
      </c>
      <c r="EX71">
        <v>1</v>
      </c>
      <c r="EY71">
        <v>1</v>
      </c>
      <c r="EZ71">
        <v>1</v>
      </c>
      <c r="FA71">
        <v>3</v>
      </c>
      <c r="FB71">
        <v>3</v>
      </c>
      <c r="FC71">
        <v>0</v>
      </c>
      <c r="FD71">
        <v>0</v>
      </c>
      <c r="FE71">
        <v>0</v>
      </c>
      <c r="FF71">
        <v>3</v>
      </c>
      <c r="FG71">
        <f t="shared" si="26"/>
        <v>80</v>
      </c>
      <c r="FH71">
        <v>0</v>
      </c>
      <c r="FI71">
        <v>0</v>
      </c>
      <c r="FJ71">
        <v>2</v>
      </c>
      <c r="FK71">
        <v>3</v>
      </c>
      <c r="FL71">
        <v>4</v>
      </c>
      <c r="FM71">
        <v>0</v>
      </c>
      <c r="FN71">
        <f t="shared" si="27"/>
        <v>9</v>
      </c>
      <c r="FO71">
        <f t="shared" si="38"/>
        <v>142</v>
      </c>
      <c r="FP71">
        <v>8</v>
      </c>
      <c r="FQ71">
        <v>0</v>
      </c>
      <c r="FR71">
        <v>3</v>
      </c>
      <c r="FS71">
        <v>3</v>
      </c>
      <c r="FT71">
        <v>3</v>
      </c>
      <c r="FU71">
        <v>2</v>
      </c>
      <c r="FV71">
        <v>2</v>
      </c>
      <c r="FW71">
        <v>6</v>
      </c>
      <c r="FX71">
        <f t="shared" si="18"/>
        <v>19</v>
      </c>
      <c r="FY71">
        <v>2</v>
      </c>
      <c r="FZ71">
        <f t="shared" si="28"/>
        <v>5</v>
      </c>
      <c r="GA71">
        <v>0</v>
      </c>
    </row>
    <row r="72" spans="1:183" x14ac:dyDescent="0.2">
      <c r="A72">
        <v>71</v>
      </c>
      <c r="B72">
        <v>1</v>
      </c>
      <c r="C72">
        <v>1</v>
      </c>
      <c r="D72">
        <v>1</v>
      </c>
      <c r="E72" s="2">
        <v>17947</v>
      </c>
      <c r="F72" s="2">
        <v>44699</v>
      </c>
      <c r="G72" s="3">
        <f t="shared" si="22"/>
        <v>73.25</v>
      </c>
      <c r="H72">
        <v>59</v>
      </c>
      <c r="I72" s="3">
        <f t="shared" si="23"/>
        <v>14.25</v>
      </c>
      <c r="J72">
        <v>0</v>
      </c>
      <c r="K72">
        <v>1</v>
      </c>
      <c r="L72">
        <v>1</v>
      </c>
      <c r="M72">
        <v>0</v>
      </c>
      <c r="N72">
        <v>2</v>
      </c>
      <c r="O72">
        <v>3</v>
      </c>
      <c r="P72">
        <v>2</v>
      </c>
      <c r="Q72">
        <v>4</v>
      </c>
      <c r="R72">
        <v>3</v>
      </c>
      <c r="S72">
        <v>1</v>
      </c>
      <c r="T72">
        <v>1</v>
      </c>
      <c r="U72">
        <v>0</v>
      </c>
      <c r="V72">
        <v>1</v>
      </c>
      <c r="W72">
        <v>1</v>
      </c>
      <c r="X72">
        <v>3</v>
      </c>
      <c r="Y72">
        <v>1</v>
      </c>
      <c r="Z72">
        <v>6</v>
      </c>
      <c r="AA72">
        <v>1</v>
      </c>
      <c r="AB72">
        <v>6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0</v>
      </c>
      <c r="AI72">
        <f>AJ72*ledd!$B$2+AK72*ledd!$B$3+AL72*ledd!$B$4+AM72*ledd!$B$5+AN72*ledd!$B$6+AO72*ledd!$B$7+AP72*ledd!$B$8+AQ72*ledd!$B$9+AR72*ledd!$B$10+AS72*ledd!$B$11+AT72*ledd!$B$12+AU72*ledd!$B$13+AV72*ledd!$B$14+AW72*ledd!$B$15+AX72*ledd!$B$16</f>
        <v>1375</v>
      </c>
      <c r="AJ72">
        <v>1100</v>
      </c>
      <c r="AK72">
        <v>100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200</v>
      </c>
      <c r="AU72">
        <v>0</v>
      </c>
      <c r="AV72">
        <v>0</v>
      </c>
      <c r="AW72">
        <v>0</v>
      </c>
      <c r="AX72">
        <v>0</v>
      </c>
      <c r="AY72">
        <v>4</v>
      </c>
      <c r="AZ72" s="3">
        <v>1</v>
      </c>
      <c r="BA72" s="3">
        <v>3</v>
      </c>
      <c r="BB72" s="3">
        <v>3</v>
      </c>
      <c r="BC72" s="3">
        <v>3</v>
      </c>
      <c r="BD72" s="3">
        <v>2</v>
      </c>
      <c r="BE72" s="3">
        <v>3</v>
      </c>
      <c r="BF72" s="3">
        <v>2</v>
      </c>
      <c r="BG72" s="3">
        <v>3</v>
      </c>
      <c r="BH72" s="3">
        <v>2</v>
      </c>
      <c r="BI72" s="3">
        <v>3</v>
      </c>
      <c r="BJ72" s="3">
        <v>2</v>
      </c>
      <c r="BK72" s="3">
        <v>2</v>
      </c>
      <c r="BL72" s="3">
        <v>2</v>
      </c>
      <c r="BM72" s="3">
        <v>3</v>
      </c>
      <c r="BN72" s="3">
        <v>2</v>
      </c>
      <c r="BO72" s="3">
        <v>2</v>
      </c>
      <c r="BP72" s="3">
        <v>1</v>
      </c>
      <c r="BQ72" s="3">
        <v>1</v>
      </c>
      <c r="BR72" s="3">
        <v>1</v>
      </c>
      <c r="BS72" s="3">
        <v>1</v>
      </c>
      <c r="BT72" s="3">
        <v>1</v>
      </c>
      <c r="BU72" s="3">
        <v>2</v>
      </c>
      <c r="BV72" s="3">
        <v>0</v>
      </c>
      <c r="BW72" s="3">
        <v>1</v>
      </c>
      <c r="BX72" s="3">
        <v>1</v>
      </c>
      <c r="BY72" s="3">
        <v>0</v>
      </c>
      <c r="BZ72" s="3">
        <v>3</v>
      </c>
      <c r="CA72" s="3">
        <v>3</v>
      </c>
      <c r="CB72" s="3">
        <v>1</v>
      </c>
      <c r="CC72" s="3">
        <v>1</v>
      </c>
      <c r="CD72" s="3">
        <v>2</v>
      </c>
      <c r="CE72" s="3">
        <v>2</v>
      </c>
      <c r="CF72" s="3">
        <v>2</v>
      </c>
      <c r="CG72" s="3">
        <v>1</v>
      </c>
      <c r="CH72" s="3">
        <v>1</v>
      </c>
      <c r="CI72" s="3">
        <v>1</v>
      </c>
      <c r="CJ72" s="3">
        <v>1</v>
      </c>
      <c r="CK72" s="3">
        <v>1</v>
      </c>
      <c r="CL72" s="3">
        <v>1</v>
      </c>
      <c r="CM72" s="3">
        <f t="shared" si="29"/>
        <v>62.5</v>
      </c>
      <c r="CN72" s="3">
        <f t="shared" si="30"/>
        <v>54.166666666666664</v>
      </c>
      <c r="CO72" s="3">
        <f t="shared" si="31"/>
        <v>29.166666666666668</v>
      </c>
      <c r="CP72" s="3">
        <f t="shared" si="32"/>
        <v>12.5</v>
      </c>
      <c r="CQ72" s="3">
        <f t="shared" si="33"/>
        <v>58.333333333333336</v>
      </c>
      <c r="CR72" s="3">
        <f t="shared" si="34"/>
        <v>43.75</v>
      </c>
      <c r="CS72">
        <f t="shared" si="35"/>
        <v>25</v>
      </c>
      <c r="CT72">
        <f t="shared" si="36"/>
        <v>25</v>
      </c>
      <c r="CU72">
        <f t="shared" si="37"/>
        <v>38.802083333333329</v>
      </c>
      <c r="CV72">
        <v>1</v>
      </c>
      <c r="CW72">
        <v>0</v>
      </c>
      <c r="CX72">
        <v>1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1</v>
      </c>
      <c r="DF72">
        <v>0</v>
      </c>
      <c r="DG72">
        <v>4</v>
      </c>
      <c r="DH72">
        <v>0</v>
      </c>
      <c r="DI72">
        <v>0</v>
      </c>
      <c r="DJ72">
        <v>0</v>
      </c>
      <c r="DK72">
        <f t="shared" si="24"/>
        <v>7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3</v>
      </c>
      <c r="DS72">
        <v>3</v>
      </c>
      <c r="DT72">
        <v>2</v>
      </c>
      <c r="DU72">
        <v>1</v>
      </c>
      <c r="DV72">
        <v>0</v>
      </c>
      <c r="DW72">
        <v>2</v>
      </c>
      <c r="DX72">
        <v>2</v>
      </c>
      <c r="DY72">
        <f t="shared" si="25"/>
        <v>13</v>
      </c>
      <c r="DZ72">
        <v>0</v>
      </c>
      <c r="EA72">
        <v>2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1</v>
      </c>
      <c r="EI72">
        <v>0</v>
      </c>
      <c r="EJ72">
        <v>0</v>
      </c>
      <c r="EK72">
        <v>0</v>
      </c>
      <c r="EL72">
        <v>1</v>
      </c>
      <c r="EM72">
        <v>0</v>
      </c>
      <c r="EN72">
        <v>2</v>
      </c>
      <c r="EO72">
        <v>0</v>
      </c>
      <c r="EP72">
        <v>1</v>
      </c>
      <c r="EQ72">
        <v>0</v>
      </c>
      <c r="ER72">
        <v>0</v>
      </c>
      <c r="ES72">
        <v>0</v>
      </c>
      <c r="ET72">
        <v>0</v>
      </c>
      <c r="EU72">
        <v>2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f t="shared" si="26"/>
        <v>9</v>
      </c>
      <c r="FH72">
        <v>0</v>
      </c>
      <c r="FI72">
        <v>0</v>
      </c>
      <c r="FJ72">
        <v>2</v>
      </c>
      <c r="FK72">
        <v>3</v>
      </c>
      <c r="FL72">
        <v>4</v>
      </c>
      <c r="FM72">
        <v>0</v>
      </c>
      <c r="FN72">
        <f t="shared" si="27"/>
        <v>9</v>
      </c>
      <c r="FO72">
        <f t="shared" si="38"/>
        <v>38</v>
      </c>
      <c r="FP72">
        <v>4</v>
      </c>
      <c r="FQ72">
        <v>4</v>
      </c>
      <c r="FR72">
        <v>3</v>
      </c>
      <c r="FS72">
        <v>6</v>
      </c>
      <c r="FT72">
        <v>3</v>
      </c>
      <c r="FU72">
        <v>2</v>
      </c>
      <c r="FV72">
        <v>3</v>
      </c>
      <c r="FW72">
        <v>6</v>
      </c>
      <c r="FX72">
        <f t="shared" si="18"/>
        <v>27</v>
      </c>
      <c r="FY72">
        <v>0</v>
      </c>
      <c r="FZ72">
        <f t="shared" si="28"/>
        <v>3</v>
      </c>
      <c r="GA72">
        <v>1</v>
      </c>
    </row>
    <row r="73" spans="1:183" x14ac:dyDescent="0.2">
      <c r="A73">
        <v>72</v>
      </c>
      <c r="B73">
        <v>1</v>
      </c>
      <c r="C73">
        <v>1</v>
      </c>
      <c r="D73">
        <v>1</v>
      </c>
      <c r="E73" s="2">
        <v>20495</v>
      </c>
      <c r="F73" s="2">
        <v>44700</v>
      </c>
      <c r="G73" s="3">
        <f t="shared" si="22"/>
        <v>66.25</v>
      </c>
      <c r="H73">
        <v>50</v>
      </c>
      <c r="I73" s="3">
        <f t="shared" si="23"/>
        <v>16.25</v>
      </c>
      <c r="J73">
        <v>1</v>
      </c>
      <c r="K73">
        <v>1</v>
      </c>
      <c r="L73">
        <v>8</v>
      </c>
      <c r="M73">
        <v>0</v>
      </c>
      <c r="N73">
        <v>3</v>
      </c>
      <c r="O73">
        <v>1</v>
      </c>
      <c r="P73">
        <v>1</v>
      </c>
      <c r="Q73">
        <v>1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2</v>
      </c>
      <c r="Y73">
        <v>2</v>
      </c>
      <c r="Z73">
        <v>0</v>
      </c>
      <c r="AA73">
        <v>1</v>
      </c>
      <c r="AB73">
        <v>0</v>
      </c>
      <c r="AC73">
        <v>1</v>
      </c>
      <c r="AD73">
        <v>1</v>
      </c>
      <c r="AE73">
        <v>1</v>
      </c>
      <c r="AF73">
        <v>0</v>
      </c>
      <c r="AG73">
        <v>0</v>
      </c>
      <c r="AH73">
        <v>0</v>
      </c>
      <c r="AI73">
        <f>AJ73*ledd!$B$2+AK73*ledd!$B$3+AL73*ledd!$B$4+AM73*ledd!$B$5+AN73*ledd!$B$6+AO73*ledd!$B$7+AP73*ledd!$B$8+AQ73*ledd!$B$9+AR73*ledd!$B$10+AS73*ledd!$B$11+AT73*ledd!$B$12+AU73*ledd!$B$13+AV73*ledd!$B$14+AW73*ledd!$B$15+AX73*ledd!$B$16</f>
        <v>764</v>
      </c>
      <c r="AJ73">
        <v>500</v>
      </c>
      <c r="AK73">
        <v>0</v>
      </c>
      <c r="AL73">
        <v>800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4</v>
      </c>
      <c r="AZ73" s="3">
        <v>3</v>
      </c>
      <c r="BA73" s="3">
        <v>3</v>
      </c>
      <c r="BB73" s="3">
        <v>3</v>
      </c>
      <c r="BC73" s="3">
        <v>4</v>
      </c>
      <c r="BD73" s="3">
        <v>3</v>
      </c>
      <c r="BE73" s="3">
        <v>2</v>
      </c>
      <c r="BF73" s="3">
        <v>2</v>
      </c>
      <c r="BG73" s="3">
        <v>4</v>
      </c>
      <c r="BH73" s="3">
        <v>4</v>
      </c>
      <c r="BI73" s="3">
        <v>3</v>
      </c>
      <c r="BJ73" s="3">
        <v>4</v>
      </c>
      <c r="BK73" s="3">
        <v>4</v>
      </c>
      <c r="BL73" s="3">
        <v>4</v>
      </c>
      <c r="BM73" s="3">
        <v>4</v>
      </c>
      <c r="BN73" s="3">
        <v>2</v>
      </c>
      <c r="BO73" s="3">
        <v>2</v>
      </c>
      <c r="BP73" s="3">
        <v>1</v>
      </c>
      <c r="BQ73" s="3">
        <v>0</v>
      </c>
      <c r="BR73" s="3">
        <v>0</v>
      </c>
      <c r="BS73" s="3">
        <v>0</v>
      </c>
      <c r="BT73" s="3">
        <v>0</v>
      </c>
      <c r="BU73" s="3">
        <v>3</v>
      </c>
      <c r="BV73" s="3">
        <v>0</v>
      </c>
      <c r="BW73" s="3">
        <v>0</v>
      </c>
      <c r="BX73" s="3">
        <v>1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2</v>
      </c>
      <c r="CE73" s="3">
        <v>2</v>
      </c>
      <c r="CF73" s="3">
        <v>0</v>
      </c>
      <c r="CG73" s="3">
        <v>0</v>
      </c>
      <c r="CH73" s="3">
        <v>0</v>
      </c>
      <c r="CI73" s="3">
        <v>0</v>
      </c>
      <c r="CJ73" s="3">
        <v>2</v>
      </c>
      <c r="CK73" s="3">
        <v>4</v>
      </c>
      <c r="CL73" s="3">
        <v>0</v>
      </c>
      <c r="CM73" s="3">
        <f t="shared" si="29"/>
        <v>77.5</v>
      </c>
      <c r="CN73" s="3">
        <f t="shared" si="30"/>
        <v>83.333333333333329</v>
      </c>
      <c r="CO73" s="3">
        <f t="shared" si="31"/>
        <v>16.666666666666668</v>
      </c>
      <c r="CP73" s="3">
        <f t="shared" si="32"/>
        <v>6.25</v>
      </c>
      <c r="CQ73" s="3">
        <f t="shared" si="33"/>
        <v>0</v>
      </c>
      <c r="CR73" s="3">
        <f t="shared" si="34"/>
        <v>25</v>
      </c>
      <c r="CS73">
        <f t="shared" si="35"/>
        <v>0</v>
      </c>
      <c r="CT73">
        <f t="shared" si="36"/>
        <v>50</v>
      </c>
      <c r="CU73">
        <f t="shared" si="37"/>
        <v>32.34375</v>
      </c>
      <c r="CV73">
        <v>2</v>
      </c>
      <c r="CW73">
        <v>0</v>
      </c>
      <c r="CX73">
        <v>2</v>
      </c>
      <c r="CY73">
        <v>0</v>
      </c>
      <c r="CZ73">
        <v>2</v>
      </c>
      <c r="DA73">
        <v>0</v>
      </c>
      <c r="DB73">
        <v>0</v>
      </c>
      <c r="DC73">
        <v>0</v>
      </c>
      <c r="DD73">
        <v>0</v>
      </c>
      <c r="DE73">
        <v>4</v>
      </c>
      <c r="DF73">
        <v>3</v>
      </c>
      <c r="DG73">
        <v>4</v>
      </c>
      <c r="DH73">
        <v>4</v>
      </c>
      <c r="DI73">
        <v>2</v>
      </c>
      <c r="DJ73">
        <v>0</v>
      </c>
      <c r="DK73">
        <f t="shared" si="24"/>
        <v>23</v>
      </c>
      <c r="DL73">
        <v>1</v>
      </c>
      <c r="DM73">
        <v>0</v>
      </c>
      <c r="DN73">
        <v>2</v>
      </c>
      <c r="DO73">
        <v>2</v>
      </c>
      <c r="DP73">
        <v>3</v>
      </c>
      <c r="DQ73">
        <v>3</v>
      </c>
      <c r="DR73">
        <v>3</v>
      </c>
      <c r="DS73">
        <v>3</v>
      </c>
      <c r="DT73">
        <v>3</v>
      </c>
      <c r="DU73">
        <v>3</v>
      </c>
      <c r="DV73">
        <v>4</v>
      </c>
      <c r="DW73">
        <v>4</v>
      </c>
      <c r="DX73">
        <v>2</v>
      </c>
      <c r="DY73">
        <f t="shared" si="25"/>
        <v>33</v>
      </c>
      <c r="DZ73">
        <v>2</v>
      </c>
      <c r="EA73">
        <v>2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2</v>
      </c>
      <c r="EH73">
        <v>2</v>
      </c>
      <c r="EI73">
        <v>2</v>
      </c>
      <c r="EJ73">
        <v>1</v>
      </c>
      <c r="EK73">
        <v>3</v>
      </c>
      <c r="EL73">
        <v>3</v>
      </c>
      <c r="EM73">
        <v>4</v>
      </c>
      <c r="EN73">
        <v>4</v>
      </c>
      <c r="EO73">
        <v>1</v>
      </c>
      <c r="EP73">
        <v>3</v>
      </c>
      <c r="EQ73">
        <v>3</v>
      </c>
      <c r="ER73">
        <v>3</v>
      </c>
      <c r="ES73">
        <v>2</v>
      </c>
      <c r="ET73">
        <v>3</v>
      </c>
      <c r="EU73">
        <v>2</v>
      </c>
      <c r="EV73">
        <v>2</v>
      </c>
      <c r="EW73">
        <v>2</v>
      </c>
      <c r="EX73">
        <v>0</v>
      </c>
      <c r="EY73">
        <v>2</v>
      </c>
      <c r="EZ73">
        <v>0</v>
      </c>
      <c r="FA73">
        <v>2</v>
      </c>
      <c r="FB73">
        <v>0</v>
      </c>
      <c r="FC73">
        <v>0</v>
      </c>
      <c r="FD73">
        <v>0</v>
      </c>
      <c r="FE73">
        <v>0</v>
      </c>
      <c r="FF73">
        <v>2</v>
      </c>
      <c r="FG73">
        <f t="shared" si="26"/>
        <v>52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f t="shared" si="27"/>
        <v>0</v>
      </c>
      <c r="FO73">
        <f t="shared" si="38"/>
        <v>108</v>
      </c>
      <c r="FP73">
        <v>8</v>
      </c>
      <c r="FQ73">
        <v>4</v>
      </c>
      <c r="FR73">
        <v>2</v>
      </c>
      <c r="FS73">
        <v>5</v>
      </c>
      <c r="FT73">
        <v>2</v>
      </c>
      <c r="FU73">
        <v>1</v>
      </c>
      <c r="FV73">
        <v>2</v>
      </c>
      <c r="FW73">
        <v>6</v>
      </c>
      <c r="FX73">
        <f t="shared" si="18"/>
        <v>22</v>
      </c>
      <c r="FY73">
        <v>2</v>
      </c>
      <c r="FZ73">
        <f t="shared" si="28"/>
        <v>4</v>
      </c>
      <c r="GA73">
        <v>0</v>
      </c>
    </row>
    <row r="74" spans="1:183" x14ac:dyDescent="0.2">
      <c r="A74">
        <v>73</v>
      </c>
      <c r="B74">
        <v>1</v>
      </c>
      <c r="C74">
        <v>1</v>
      </c>
      <c r="D74">
        <v>1</v>
      </c>
      <c r="E74" s="2">
        <v>22752</v>
      </c>
      <c r="F74" s="2">
        <v>44711</v>
      </c>
      <c r="G74" s="3">
        <f t="shared" si="22"/>
        <v>60.083333333333336</v>
      </c>
      <c r="H74">
        <v>42</v>
      </c>
      <c r="I74" s="3">
        <f t="shared" si="23"/>
        <v>18.083333333333336</v>
      </c>
      <c r="J74">
        <v>11</v>
      </c>
      <c r="K74">
        <v>1</v>
      </c>
      <c r="L74">
        <v>8</v>
      </c>
      <c r="M74">
        <v>0</v>
      </c>
      <c r="N74">
        <v>2</v>
      </c>
      <c r="O74">
        <v>0</v>
      </c>
      <c r="P74">
        <v>1</v>
      </c>
      <c r="Q74">
        <v>4</v>
      </c>
      <c r="R74">
        <v>3</v>
      </c>
      <c r="S74">
        <v>0</v>
      </c>
      <c r="T74">
        <v>0</v>
      </c>
      <c r="U74">
        <v>0</v>
      </c>
      <c r="V74">
        <v>1</v>
      </c>
      <c r="W74">
        <v>1</v>
      </c>
      <c r="X74">
        <v>0</v>
      </c>
      <c r="Y74">
        <v>0</v>
      </c>
      <c r="AA74">
        <v>0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0</v>
      </c>
      <c r="AI74">
        <f>AJ74*ledd!$B$2+AK74*ledd!$B$3+AL74*ledd!$B$4+AM74*ledd!$B$5+AN74*ledd!$B$6+AO74*ledd!$B$7+AP74*ledd!$B$8+AQ74*ledd!$B$9+AR74*ledd!$B$10+AS74*ledd!$B$11+AT74*ledd!$B$12+AU74*ledd!$B$13+AV74*ledd!$B$14+AW74*ledd!$B$15+AX74*ledd!$B$16</f>
        <v>925</v>
      </c>
      <c r="AJ74">
        <v>250</v>
      </c>
      <c r="AK74">
        <v>0</v>
      </c>
      <c r="AL74">
        <v>500</v>
      </c>
      <c r="AM74">
        <v>0</v>
      </c>
      <c r="AN74">
        <v>2.1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300</v>
      </c>
      <c r="AU74">
        <v>0</v>
      </c>
      <c r="AV74">
        <v>0</v>
      </c>
      <c r="AW74">
        <v>0</v>
      </c>
      <c r="AX74">
        <v>0</v>
      </c>
      <c r="AY74">
        <v>2</v>
      </c>
      <c r="AZ74" s="3">
        <v>3</v>
      </c>
      <c r="BA74" s="3">
        <v>2</v>
      </c>
      <c r="BB74" s="3">
        <v>4</v>
      </c>
      <c r="BC74" s="3">
        <v>4</v>
      </c>
      <c r="BD74" s="3">
        <v>2</v>
      </c>
      <c r="BE74" s="3">
        <v>2</v>
      </c>
      <c r="BF74" s="3">
        <v>2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3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2</v>
      </c>
      <c r="CD74" s="3">
        <v>0</v>
      </c>
      <c r="CE74" s="3">
        <v>2</v>
      </c>
      <c r="CF74" s="3">
        <v>2</v>
      </c>
      <c r="CG74" s="3">
        <v>0</v>
      </c>
      <c r="CH74" s="3">
        <v>0</v>
      </c>
      <c r="CI74" s="3">
        <v>0</v>
      </c>
      <c r="CJ74" s="3">
        <v>0</v>
      </c>
      <c r="CK74" s="3">
        <v>3</v>
      </c>
      <c r="CL74" s="3">
        <v>3</v>
      </c>
      <c r="CM74" s="3">
        <f t="shared" si="29"/>
        <v>47.5</v>
      </c>
      <c r="CN74" s="3">
        <f t="shared" si="30"/>
        <v>12.5</v>
      </c>
      <c r="CO74" s="3">
        <f t="shared" si="31"/>
        <v>0</v>
      </c>
      <c r="CP74" s="3">
        <f t="shared" si="32"/>
        <v>0</v>
      </c>
      <c r="CQ74" s="3">
        <f t="shared" si="33"/>
        <v>0</v>
      </c>
      <c r="CR74" s="3">
        <f t="shared" si="34"/>
        <v>37.5</v>
      </c>
      <c r="CS74">
        <f t="shared" si="35"/>
        <v>0</v>
      </c>
      <c r="CT74">
        <f t="shared" si="36"/>
        <v>50</v>
      </c>
      <c r="CU74">
        <f t="shared" si="37"/>
        <v>18.4375</v>
      </c>
      <c r="CV74">
        <v>1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3</v>
      </c>
      <c r="DD74">
        <v>2</v>
      </c>
      <c r="DE74">
        <v>4</v>
      </c>
      <c r="DF74">
        <v>2</v>
      </c>
      <c r="DG74">
        <v>3</v>
      </c>
      <c r="DH74">
        <v>0</v>
      </c>
      <c r="DI74">
        <v>0</v>
      </c>
      <c r="DJ74">
        <v>0</v>
      </c>
      <c r="DK74">
        <f t="shared" si="24"/>
        <v>15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3</v>
      </c>
      <c r="DT74">
        <v>2</v>
      </c>
      <c r="DU74">
        <v>1</v>
      </c>
      <c r="DV74">
        <v>2</v>
      </c>
      <c r="DW74">
        <v>3</v>
      </c>
      <c r="DX74">
        <v>0</v>
      </c>
      <c r="DY74">
        <f t="shared" si="25"/>
        <v>11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1</v>
      </c>
      <c r="EK74">
        <v>2</v>
      </c>
      <c r="EL74">
        <v>1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2</v>
      </c>
      <c r="ES74">
        <v>1</v>
      </c>
      <c r="ET74">
        <v>0</v>
      </c>
      <c r="EU74">
        <v>2</v>
      </c>
      <c r="EV74">
        <v>1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1</v>
      </c>
      <c r="FG74">
        <f t="shared" si="26"/>
        <v>11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f t="shared" si="27"/>
        <v>0</v>
      </c>
      <c r="FO74">
        <f t="shared" si="38"/>
        <v>37</v>
      </c>
      <c r="FP74">
        <v>5</v>
      </c>
      <c r="FQ74">
        <v>5</v>
      </c>
      <c r="FR74">
        <v>3</v>
      </c>
      <c r="FS74">
        <v>6</v>
      </c>
      <c r="FT74">
        <v>3</v>
      </c>
      <c r="FU74">
        <v>2</v>
      </c>
      <c r="FV74">
        <v>3</v>
      </c>
      <c r="FW74">
        <v>6</v>
      </c>
      <c r="FX74">
        <f t="shared" ref="FX74:FX95" si="39">SUM(FQ74:FW74)</f>
        <v>28</v>
      </c>
      <c r="FY74">
        <v>1</v>
      </c>
      <c r="FZ74">
        <f t="shared" si="28"/>
        <v>3</v>
      </c>
      <c r="GA74">
        <v>1</v>
      </c>
    </row>
    <row r="75" spans="1:183" x14ac:dyDescent="0.2">
      <c r="A75">
        <v>74</v>
      </c>
      <c r="B75">
        <v>1</v>
      </c>
      <c r="C75">
        <v>1</v>
      </c>
      <c r="D75">
        <v>1</v>
      </c>
      <c r="E75" s="2">
        <v>21982</v>
      </c>
      <c r="F75" s="2">
        <v>44712</v>
      </c>
      <c r="G75" s="3">
        <f t="shared" si="22"/>
        <v>62.166666666666664</v>
      </c>
      <c r="H75">
        <v>50</v>
      </c>
      <c r="I75" s="3">
        <f t="shared" si="23"/>
        <v>12.166666666666664</v>
      </c>
      <c r="J75">
        <v>0</v>
      </c>
      <c r="K75">
        <v>1</v>
      </c>
      <c r="L75">
        <v>0</v>
      </c>
      <c r="M75">
        <v>0</v>
      </c>
      <c r="N75">
        <v>3</v>
      </c>
      <c r="O75">
        <v>0</v>
      </c>
      <c r="P75">
        <v>3</v>
      </c>
      <c r="Q75">
        <v>4</v>
      </c>
      <c r="R75">
        <v>3</v>
      </c>
      <c r="S75">
        <v>1</v>
      </c>
      <c r="T75">
        <v>0</v>
      </c>
      <c r="U75">
        <v>0</v>
      </c>
      <c r="V75">
        <v>1</v>
      </c>
      <c r="W75">
        <v>1</v>
      </c>
      <c r="X75">
        <v>2</v>
      </c>
      <c r="Y75">
        <v>2</v>
      </c>
      <c r="Z75">
        <v>6</v>
      </c>
      <c r="AA75">
        <v>2</v>
      </c>
      <c r="AB75">
        <v>6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f>AJ75*ledd!$B$2+AK75*ledd!$B$3+AL75*ledd!$B$4+AM75*ledd!$B$5+AN75*ledd!$B$6+AO75*ledd!$B$7+AP75*ledd!$B$8+AQ75*ledd!$B$9+AR75*ledd!$B$10+AS75*ledd!$B$11+AT75*ledd!$B$12+AU75*ledd!$B$13+AV75*ledd!$B$14+AW75*ledd!$B$15+AX75*ledd!$B$16</f>
        <v>280</v>
      </c>
      <c r="AJ75">
        <v>200</v>
      </c>
      <c r="AK75">
        <v>0</v>
      </c>
      <c r="AL75">
        <v>0</v>
      </c>
      <c r="AM75">
        <v>0</v>
      </c>
      <c r="AN75">
        <v>0</v>
      </c>
      <c r="AO75">
        <v>4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2</v>
      </c>
      <c r="AZ75" s="3">
        <v>1</v>
      </c>
      <c r="BA75" s="3">
        <v>1</v>
      </c>
      <c r="BB75" s="3">
        <v>0</v>
      </c>
      <c r="BC75" s="3">
        <v>0</v>
      </c>
      <c r="BD75" s="3">
        <v>0</v>
      </c>
      <c r="BE75" s="3">
        <v>1</v>
      </c>
      <c r="BF75" s="3">
        <v>3</v>
      </c>
      <c r="BG75" s="3">
        <v>0</v>
      </c>
      <c r="BH75" s="3">
        <v>1</v>
      </c>
      <c r="BI75" s="3">
        <v>2</v>
      </c>
      <c r="BJ75" s="3">
        <v>0</v>
      </c>
      <c r="BK75" s="3">
        <v>0</v>
      </c>
      <c r="BL75" s="3">
        <v>1</v>
      </c>
      <c r="BM75" s="3">
        <v>3</v>
      </c>
      <c r="BN75" s="3">
        <v>0</v>
      </c>
      <c r="BO75" s="3">
        <v>1</v>
      </c>
      <c r="BP75" s="3">
        <v>2</v>
      </c>
      <c r="BQ75" s="3">
        <v>2</v>
      </c>
      <c r="BR75" s="3">
        <v>2</v>
      </c>
      <c r="BS75" s="3">
        <v>2</v>
      </c>
      <c r="BT75" s="3">
        <v>2</v>
      </c>
      <c r="BU75" s="3">
        <v>1</v>
      </c>
      <c r="BV75" s="3">
        <v>2</v>
      </c>
      <c r="BW75" s="3">
        <v>0</v>
      </c>
      <c r="BX75" s="3">
        <v>1</v>
      </c>
      <c r="BY75" s="3">
        <v>3</v>
      </c>
      <c r="BZ75" s="3">
        <v>2</v>
      </c>
      <c r="CA75" s="3">
        <v>2</v>
      </c>
      <c r="CB75" s="3">
        <v>1</v>
      </c>
      <c r="CC75" s="3">
        <v>0</v>
      </c>
      <c r="CD75" s="3">
        <v>3</v>
      </c>
      <c r="CE75" s="3">
        <v>3</v>
      </c>
      <c r="CF75" s="3">
        <v>0</v>
      </c>
      <c r="CG75" s="3">
        <v>4</v>
      </c>
      <c r="CH75" s="3">
        <v>3</v>
      </c>
      <c r="CI75" s="3">
        <v>1</v>
      </c>
      <c r="CJ75" s="3">
        <v>0</v>
      </c>
      <c r="CK75" s="3">
        <v>0</v>
      </c>
      <c r="CL75" s="3">
        <v>0</v>
      </c>
      <c r="CM75" s="3">
        <f t="shared" si="29"/>
        <v>22.5</v>
      </c>
      <c r="CN75" s="3">
        <f t="shared" si="30"/>
        <v>20.833333333333332</v>
      </c>
      <c r="CO75" s="3">
        <f t="shared" si="31"/>
        <v>45.833333333333336</v>
      </c>
      <c r="CP75" s="3">
        <f t="shared" si="32"/>
        <v>37.5</v>
      </c>
      <c r="CQ75" s="3">
        <f t="shared" si="33"/>
        <v>41.666666666666664</v>
      </c>
      <c r="CR75" s="3">
        <f t="shared" si="34"/>
        <v>37.5</v>
      </c>
      <c r="CS75">
        <f t="shared" si="35"/>
        <v>66.666666666666671</v>
      </c>
      <c r="CT75">
        <f t="shared" si="36"/>
        <v>0</v>
      </c>
      <c r="CU75">
        <f t="shared" si="37"/>
        <v>34.0625</v>
      </c>
      <c r="CV75">
        <v>1</v>
      </c>
      <c r="CW75">
        <v>0</v>
      </c>
      <c r="CX75">
        <v>1</v>
      </c>
      <c r="CY75">
        <v>1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f t="shared" si="24"/>
        <v>4</v>
      </c>
      <c r="DL75">
        <v>3</v>
      </c>
      <c r="DM75">
        <v>1</v>
      </c>
      <c r="DN75">
        <v>2</v>
      </c>
      <c r="DO75">
        <v>1</v>
      </c>
      <c r="DP75">
        <v>1</v>
      </c>
      <c r="DQ75">
        <v>1</v>
      </c>
      <c r="DR75">
        <v>4</v>
      </c>
      <c r="DS75">
        <v>1</v>
      </c>
      <c r="DT75">
        <v>1</v>
      </c>
      <c r="DU75">
        <v>1</v>
      </c>
      <c r="DV75">
        <v>0</v>
      </c>
      <c r="DW75">
        <v>1</v>
      </c>
      <c r="DX75">
        <v>0</v>
      </c>
      <c r="DY75">
        <f t="shared" si="25"/>
        <v>17</v>
      </c>
      <c r="DZ75">
        <v>3</v>
      </c>
      <c r="EA75">
        <v>1</v>
      </c>
      <c r="EB75">
        <v>0</v>
      </c>
      <c r="EC75">
        <v>1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1</v>
      </c>
      <c r="ES75">
        <v>0</v>
      </c>
      <c r="ET75">
        <v>0</v>
      </c>
      <c r="EU75">
        <v>1</v>
      </c>
      <c r="EV75">
        <v>1</v>
      </c>
      <c r="EW75">
        <v>1</v>
      </c>
      <c r="EX75">
        <v>0</v>
      </c>
      <c r="EY75">
        <v>1</v>
      </c>
      <c r="EZ75">
        <v>0</v>
      </c>
      <c r="FA75">
        <v>4</v>
      </c>
      <c r="FB75">
        <v>0</v>
      </c>
      <c r="FC75">
        <v>3</v>
      </c>
      <c r="FD75">
        <v>4</v>
      </c>
      <c r="FE75">
        <v>0</v>
      </c>
      <c r="FF75">
        <v>0</v>
      </c>
      <c r="FG75">
        <f t="shared" si="26"/>
        <v>21</v>
      </c>
      <c r="FH75">
        <v>1</v>
      </c>
      <c r="FI75">
        <v>0</v>
      </c>
      <c r="FJ75">
        <v>0</v>
      </c>
      <c r="FK75">
        <v>0</v>
      </c>
      <c r="FL75">
        <v>0</v>
      </c>
      <c r="FM75">
        <v>0</v>
      </c>
      <c r="FN75">
        <f t="shared" si="27"/>
        <v>1</v>
      </c>
      <c r="FO75">
        <f t="shared" si="38"/>
        <v>43</v>
      </c>
      <c r="FP75">
        <v>15</v>
      </c>
      <c r="FQ75">
        <v>5</v>
      </c>
      <c r="FR75">
        <v>3</v>
      </c>
      <c r="FS75">
        <v>6</v>
      </c>
      <c r="FT75">
        <v>3</v>
      </c>
      <c r="FU75">
        <v>2</v>
      </c>
      <c r="FV75">
        <v>3</v>
      </c>
      <c r="FW75">
        <v>6</v>
      </c>
      <c r="FX75">
        <f t="shared" si="39"/>
        <v>28</v>
      </c>
      <c r="FY75">
        <v>0</v>
      </c>
      <c r="FZ75">
        <f t="shared" si="28"/>
        <v>2</v>
      </c>
      <c r="GA75">
        <v>1</v>
      </c>
    </row>
    <row r="76" spans="1:183" x14ac:dyDescent="0.2">
      <c r="A76">
        <v>75</v>
      </c>
      <c r="B76">
        <v>1</v>
      </c>
      <c r="C76">
        <v>1</v>
      </c>
      <c r="D76">
        <v>1</v>
      </c>
      <c r="E76" s="2">
        <v>18273</v>
      </c>
      <c r="F76" s="2">
        <v>44713</v>
      </c>
      <c r="G76" s="3">
        <f t="shared" si="22"/>
        <v>72.333333333333329</v>
      </c>
      <c r="H76">
        <v>72</v>
      </c>
      <c r="I76" s="3">
        <f t="shared" si="23"/>
        <v>0.3333333333333286</v>
      </c>
      <c r="J76">
        <v>0</v>
      </c>
      <c r="K76">
        <v>1</v>
      </c>
      <c r="L76">
        <v>8</v>
      </c>
      <c r="M76">
        <v>0</v>
      </c>
      <c r="N76">
        <v>2</v>
      </c>
      <c r="O76">
        <v>0</v>
      </c>
      <c r="P76">
        <v>1</v>
      </c>
      <c r="Q76">
        <v>4</v>
      </c>
      <c r="R76">
        <v>3</v>
      </c>
      <c r="S76">
        <v>1</v>
      </c>
      <c r="T76">
        <v>1</v>
      </c>
      <c r="U76">
        <v>0</v>
      </c>
      <c r="V76">
        <v>1</v>
      </c>
      <c r="W76">
        <v>1</v>
      </c>
      <c r="X76">
        <v>1</v>
      </c>
      <c r="Y76">
        <v>1</v>
      </c>
      <c r="Z76">
        <v>0</v>
      </c>
      <c r="AA76">
        <v>1</v>
      </c>
      <c r="AB76">
        <v>0</v>
      </c>
      <c r="AC76">
        <v>0</v>
      </c>
      <c r="AD76">
        <v>6</v>
      </c>
      <c r="AE76">
        <v>1</v>
      </c>
      <c r="AF76">
        <v>0</v>
      </c>
      <c r="AG76">
        <v>0</v>
      </c>
      <c r="AH76">
        <v>0</v>
      </c>
      <c r="AI76">
        <f>AJ76*ledd!$B$2+AK76*ledd!$B$3+AL76*ledd!$B$4+AM76*ledd!$B$5+AN76*ledd!$B$6+AO76*ledd!$B$7+AP76*ledd!$B$8+AQ76*ledd!$B$9+AR76*ledd!$B$10+AS76*ledd!$B$11+AT76*ledd!$B$12+AU76*ledd!$B$13+AV76*ledd!$B$14+AW76*ledd!$B$15+AX76*ledd!$B$16</f>
        <v>125</v>
      </c>
      <c r="AJ76">
        <v>0</v>
      </c>
      <c r="AK76">
        <v>0</v>
      </c>
      <c r="AL76">
        <v>0</v>
      </c>
      <c r="AM76">
        <v>0</v>
      </c>
      <c r="AN76">
        <v>0.25</v>
      </c>
      <c r="AO76">
        <v>0</v>
      </c>
      <c r="AP76">
        <v>0</v>
      </c>
      <c r="AQ76">
        <v>0</v>
      </c>
      <c r="AR76">
        <v>0</v>
      </c>
      <c r="AS76">
        <v>1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1</v>
      </c>
      <c r="AZ76" s="3">
        <v>2</v>
      </c>
      <c r="BA76" s="3">
        <v>2</v>
      </c>
      <c r="BB76" s="3">
        <v>3</v>
      </c>
      <c r="BC76" s="3">
        <v>3</v>
      </c>
      <c r="BD76" s="3">
        <v>3</v>
      </c>
      <c r="BE76" s="3">
        <v>3</v>
      </c>
      <c r="BF76" s="3">
        <v>2</v>
      </c>
      <c r="BG76" s="3">
        <v>3</v>
      </c>
      <c r="BH76" s="3">
        <v>1</v>
      </c>
      <c r="BI76" s="3">
        <v>1</v>
      </c>
      <c r="BJ76" s="3">
        <v>1</v>
      </c>
      <c r="BK76" s="3">
        <v>0</v>
      </c>
      <c r="BL76" s="3">
        <v>1</v>
      </c>
      <c r="BM76" s="3">
        <v>4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1</v>
      </c>
      <c r="BT76" s="3">
        <v>1</v>
      </c>
      <c r="BU76" s="3">
        <v>2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1</v>
      </c>
      <c r="CD76" s="3">
        <v>2</v>
      </c>
      <c r="CE76" s="3">
        <v>0</v>
      </c>
      <c r="CF76" s="3">
        <v>0</v>
      </c>
      <c r="CG76" s="3">
        <v>3</v>
      </c>
      <c r="CH76" s="3">
        <v>2</v>
      </c>
      <c r="CI76" s="3">
        <v>0</v>
      </c>
      <c r="CJ76" s="3">
        <v>0</v>
      </c>
      <c r="CK76" s="3">
        <v>0</v>
      </c>
      <c r="CL76" s="3">
        <v>0</v>
      </c>
      <c r="CM76" s="3">
        <f t="shared" si="29"/>
        <v>57.5</v>
      </c>
      <c r="CN76" s="3">
        <f t="shared" si="30"/>
        <v>25</v>
      </c>
      <c r="CO76" s="3">
        <f t="shared" si="31"/>
        <v>16.666666666666668</v>
      </c>
      <c r="CP76" s="3">
        <f t="shared" si="32"/>
        <v>0</v>
      </c>
      <c r="CQ76" s="3">
        <f t="shared" si="33"/>
        <v>0</v>
      </c>
      <c r="CR76" s="3">
        <f t="shared" si="34"/>
        <v>18.75</v>
      </c>
      <c r="CS76">
        <f t="shared" si="35"/>
        <v>41.666666666666664</v>
      </c>
      <c r="CT76">
        <f t="shared" si="36"/>
        <v>0</v>
      </c>
      <c r="CU76">
        <f t="shared" si="37"/>
        <v>19.947916666666668</v>
      </c>
      <c r="CV76">
        <v>0</v>
      </c>
      <c r="CW76">
        <v>0</v>
      </c>
      <c r="CX76">
        <v>1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2</v>
      </c>
      <c r="DE76">
        <v>0</v>
      </c>
      <c r="DF76">
        <v>0</v>
      </c>
      <c r="DG76">
        <v>2</v>
      </c>
      <c r="DH76">
        <v>0</v>
      </c>
      <c r="DI76">
        <v>0</v>
      </c>
      <c r="DJ76">
        <v>0</v>
      </c>
      <c r="DK76">
        <f t="shared" si="24"/>
        <v>5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3</v>
      </c>
      <c r="DS76">
        <v>0</v>
      </c>
      <c r="DT76">
        <v>0</v>
      </c>
      <c r="DU76">
        <v>0</v>
      </c>
      <c r="DV76">
        <v>2</v>
      </c>
      <c r="DW76">
        <v>2</v>
      </c>
      <c r="DX76">
        <v>3</v>
      </c>
      <c r="DY76">
        <f t="shared" si="25"/>
        <v>10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2</v>
      </c>
      <c r="ES76">
        <v>3</v>
      </c>
      <c r="ET76">
        <v>4</v>
      </c>
      <c r="EU76">
        <v>1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f t="shared" si="26"/>
        <v>10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f t="shared" si="27"/>
        <v>0</v>
      </c>
      <c r="FO76">
        <f t="shared" si="38"/>
        <v>25</v>
      </c>
      <c r="FP76">
        <v>8</v>
      </c>
      <c r="FQ76">
        <v>2</v>
      </c>
      <c r="FR76">
        <v>3</v>
      </c>
      <c r="FS76">
        <v>5</v>
      </c>
      <c r="FT76">
        <v>3</v>
      </c>
      <c r="FU76">
        <v>2</v>
      </c>
      <c r="FV76">
        <v>3</v>
      </c>
      <c r="FW76">
        <v>5</v>
      </c>
      <c r="FX76">
        <f t="shared" si="39"/>
        <v>23</v>
      </c>
      <c r="FY76">
        <v>0</v>
      </c>
      <c r="FZ76">
        <f t="shared" si="28"/>
        <v>3</v>
      </c>
      <c r="GA76">
        <v>0</v>
      </c>
    </row>
    <row r="77" spans="1:183" x14ac:dyDescent="0.2">
      <c r="A77">
        <v>76</v>
      </c>
      <c r="B77">
        <v>1</v>
      </c>
      <c r="C77">
        <v>1</v>
      </c>
      <c r="D77">
        <v>0</v>
      </c>
      <c r="E77" s="2">
        <v>21161</v>
      </c>
      <c r="F77" s="2">
        <v>44714</v>
      </c>
      <c r="G77" s="3">
        <f t="shared" si="22"/>
        <v>64.416666666666671</v>
      </c>
      <c r="H77">
        <v>55</v>
      </c>
      <c r="I77" s="3">
        <f t="shared" si="23"/>
        <v>9.4166666666666714</v>
      </c>
      <c r="J77">
        <v>0</v>
      </c>
      <c r="K77">
        <v>1</v>
      </c>
      <c r="L77">
        <v>1</v>
      </c>
      <c r="M77">
        <v>0</v>
      </c>
      <c r="N77">
        <v>2</v>
      </c>
      <c r="O77">
        <v>1</v>
      </c>
      <c r="P77">
        <v>3</v>
      </c>
      <c r="Q77">
        <v>2</v>
      </c>
      <c r="R77">
        <v>1</v>
      </c>
      <c r="S77">
        <v>0</v>
      </c>
      <c r="T77">
        <v>0</v>
      </c>
      <c r="U77">
        <v>0</v>
      </c>
      <c r="V77">
        <v>1</v>
      </c>
      <c r="W77">
        <v>1</v>
      </c>
      <c r="X77">
        <v>1</v>
      </c>
      <c r="Y77">
        <v>1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f>AJ77*ledd!$B$2+AK77*ledd!$B$3+AL77*ledd!$B$4+AM77*ledd!$B$5+AN77*ledd!$B$6+AO77*ledd!$B$7+AP77*ledd!$B$8+AQ77*ledd!$B$9+AR77*ledd!$B$10+AS77*ledd!$B$11+AT77*ledd!$B$12+AU77*ledd!$B$13+AV77*ledd!$B$14+AW77*ledd!$B$15+AX77*ledd!$B$16</f>
        <v>1086.5</v>
      </c>
      <c r="AJ77">
        <v>600</v>
      </c>
      <c r="AK77">
        <v>200</v>
      </c>
      <c r="AL77">
        <v>0</v>
      </c>
      <c r="AM77">
        <v>0</v>
      </c>
      <c r="AN77">
        <v>0</v>
      </c>
      <c r="AO77">
        <v>16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50</v>
      </c>
      <c r="AY77">
        <v>5</v>
      </c>
      <c r="AZ77" s="3">
        <v>3</v>
      </c>
      <c r="BA77" s="3">
        <v>4</v>
      </c>
      <c r="BB77" s="3">
        <v>4</v>
      </c>
      <c r="BC77" s="3">
        <v>4</v>
      </c>
      <c r="BD77" s="3">
        <v>3</v>
      </c>
      <c r="BE77" s="3">
        <v>2</v>
      </c>
      <c r="BF77" s="3">
        <v>2</v>
      </c>
      <c r="BG77" s="3">
        <v>4</v>
      </c>
      <c r="BH77" s="3">
        <v>2</v>
      </c>
      <c r="BI77" s="3">
        <v>3</v>
      </c>
      <c r="BJ77" s="3">
        <v>2</v>
      </c>
      <c r="BK77" s="3">
        <v>3</v>
      </c>
      <c r="BL77" s="3">
        <v>3</v>
      </c>
      <c r="BM77" s="3">
        <v>4</v>
      </c>
      <c r="BN77" s="3">
        <v>3</v>
      </c>
      <c r="BO77" s="3">
        <v>2</v>
      </c>
      <c r="BP77" s="3">
        <v>1</v>
      </c>
      <c r="BQ77" s="3">
        <v>0</v>
      </c>
      <c r="BR77" s="3">
        <v>3</v>
      </c>
      <c r="BS77" s="3">
        <v>1</v>
      </c>
      <c r="BT77" s="3">
        <v>1</v>
      </c>
      <c r="BU77" s="3">
        <v>1</v>
      </c>
      <c r="BV77" s="3">
        <v>0</v>
      </c>
      <c r="BW77" s="3">
        <v>2</v>
      </c>
      <c r="BX77" s="3">
        <v>2</v>
      </c>
      <c r="BY77" s="3">
        <v>0</v>
      </c>
      <c r="BZ77" s="3">
        <v>0</v>
      </c>
      <c r="CA77" s="3">
        <v>1</v>
      </c>
      <c r="CB77" s="3">
        <v>0</v>
      </c>
      <c r="CC77" s="3">
        <v>0</v>
      </c>
      <c r="CD77" s="3">
        <v>1</v>
      </c>
      <c r="CE77" s="3">
        <v>1</v>
      </c>
      <c r="CF77" s="3">
        <v>0</v>
      </c>
      <c r="CG77" s="3">
        <v>3</v>
      </c>
      <c r="CH77" s="3">
        <v>3</v>
      </c>
      <c r="CI77" s="3">
        <v>2</v>
      </c>
      <c r="CJ77" s="3">
        <v>3</v>
      </c>
      <c r="CK77" s="3">
        <v>3</v>
      </c>
      <c r="CL77" s="3">
        <v>0</v>
      </c>
      <c r="CM77" s="3">
        <f t="shared" si="29"/>
        <v>77.5</v>
      </c>
      <c r="CN77" s="3">
        <f t="shared" si="30"/>
        <v>70.833333333333329</v>
      </c>
      <c r="CO77" s="3">
        <f t="shared" si="31"/>
        <v>29.166666666666668</v>
      </c>
      <c r="CP77" s="3">
        <f t="shared" si="32"/>
        <v>25</v>
      </c>
      <c r="CQ77" s="3">
        <f t="shared" si="33"/>
        <v>8.3333333333333339</v>
      </c>
      <c r="CR77" s="3">
        <f t="shared" si="34"/>
        <v>12.5</v>
      </c>
      <c r="CS77">
        <f t="shared" si="35"/>
        <v>66.666666666666671</v>
      </c>
      <c r="CT77">
        <f t="shared" si="36"/>
        <v>50</v>
      </c>
      <c r="CU77">
        <f t="shared" si="37"/>
        <v>42.5</v>
      </c>
      <c r="CV77">
        <v>0</v>
      </c>
      <c r="CW77">
        <v>0</v>
      </c>
      <c r="CX77">
        <v>1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2</v>
      </c>
      <c r="DF77">
        <v>4</v>
      </c>
      <c r="DG77">
        <v>2</v>
      </c>
      <c r="DH77">
        <v>0</v>
      </c>
      <c r="DI77">
        <v>2</v>
      </c>
      <c r="DJ77">
        <v>0</v>
      </c>
      <c r="DK77">
        <f t="shared" si="24"/>
        <v>11</v>
      </c>
      <c r="DL77">
        <v>4</v>
      </c>
      <c r="DM77">
        <v>3</v>
      </c>
      <c r="DN77">
        <v>2</v>
      </c>
      <c r="DO77">
        <v>3</v>
      </c>
      <c r="DP77">
        <v>3</v>
      </c>
      <c r="DQ77">
        <v>4</v>
      </c>
      <c r="DR77">
        <v>4</v>
      </c>
      <c r="DS77">
        <v>4</v>
      </c>
      <c r="DT77">
        <v>4</v>
      </c>
      <c r="DU77">
        <v>0</v>
      </c>
      <c r="DV77">
        <v>4</v>
      </c>
      <c r="DW77">
        <v>3</v>
      </c>
      <c r="DX77">
        <v>4</v>
      </c>
      <c r="DY77">
        <f t="shared" si="25"/>
        <v>42</v>
      </c>
      <c r="DZ77">
        <v>3</v>
      </c>
      <c r="EA77">
        <v>2</v>
      </c>
      <c r="EB77">
        <v>0</v>
      </c>
      <c r="EC77">
        <v>2</v>
      </c>
      <c r="ED77">
        <v>2</v>
      </c>
      <c r="EE77">
        <v>2</v>
      </c>
      <c r="EF77">
        <v>2</v>
      </c>
      <c r="EG77">
        <v>1</v>
      </c>
      <c r="EH77">
        <v>2</v>
      </c>
      <c r="EI77">
        <v>1</v>
      </c>
      <c r="EJ77">
        <v>1</v>
      </c>
      <c r="EK77">
        <v>3</v>
      </c>
      <c r="EL77">
        <v>3</v>
      </c>
      <c r="EM77">
        <v>1</v>
      </c>
      <c r="EN77">
        <v>1</v>
      </c>
      <c r="EO77">
        <v>1</v>
      </c>
      <c r="EP77">
        <v>1</v>
      </c>
      <c r="EQ77">
        <v>3</v>
      </c>
      <c r="ER77">
        <v>3</v>
      </c>
      <c r="ES77">
        <v>2</v>
      </c>
      <c r="ET77">
        <v>4</v>
      </c>
      <c r="EU77">
        <v>4</v>
      </c>
      <c r="EV77">
        <v>3</v>
      </c>
      <c r="EW77">
        <v>1</v>
      </c>
      <c r="EX77">
        <v>1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f t="shared" si="26"/>
        <v>49</v>
      </c>
      <c r="FH77">
        <v>0</v>
      </c>
      <c r="FI77">
        <v>0</v>
      </c>
      <c r="FJ77">
        <v>1</v>
      </c>
      <c r="FK77">
        <v>2</v>
      </c>
      <c r="FL77">
        <v>4</v>
      </c>
      <c r="FM77">
        <v>0</v>
      </c>
      <c r="FN77">
        <f t="shared" si="27"/>
        <v>7</v>
      </c>
      <c r="FO77">
        <f t="shared" si="38"/>
        <v>109</v>
      </c>
      <c r="FP77">
        <v>7</v>
      </c>
      <c r="FQ77">
        <v>5</v>
      </c>
      <c r="FR77">
        <v>3</v>
      </c>
      <c r="FS77">
        <v>6</v>
      </c>
      <c r="FT77">
        <v>3</v>
      </c>
      <c r="FU77">
        <v>2</v>
      </c>
      <c r="FV77">
        <v>5</v>
      </c>
      <c r="FW77">
        <v>6</v>
      </c>
      <c r="FX77">
        <f t="shared" si="39"/>
        <v>30</v>
      </c>
      <c r="FY77">
        <v>0</v>
      </c>
      <c r="FZ77">
        <f t="shared" si="28"/>
        <v>2</v>
      </c>
      <c r="GA77">
        <v>1</v>
      </c>
    </row>
    <row r="78" spans="1:183" x14ac:dyDescent="0.2">
      <c r="A78">
        <v>77</v>
      </c>
      <c r="B78">
        <v>1</v>
      </c>
      <c r="C78">
        <v>1</v>
      </c>
      <c r="D78">
        <v>0</v>
      </c>
      <c r="E78" s="2">
        <v>17147</v>
      </c>
      <c r="F78" s="2">
        <v>44727</v>
      </c>
      <c r="G78" s="3">
        <f t="shared" si="22"/>
        <v>75.5</v>
      </c>
      <c r="H78">
        <v>74</v>
      </c>
      <c r="I78" s="3">
        <f t="shared" si="23"/>
        <v>1.5</v>
      </c>
      <c r="J78">
        <v>0</v>
      </c>
      <c r="K78">
        <v>3</v>
      </c>
      <c r="L78">
        <v>8</v>
      </c>
      <c r="M78">
        <v>0</v>
      </c>
      <c r="N78">
        <v>1</v>
      </c>
      <c r="O78">
        <v>2</v>
      </c>
      <c r="P78">
        <v>3</v>
      </c>
      <c r="Q78">
        <v>4</v>
      </c>
      <c r="R78">
        <v>3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2</v>
      </c>
      <c r="Z78">
        <v>6</v>
      </c>
      <c r="AA78">
        <v>1</v>
      </c>
      <c r="AB78">
        <v>6</v>
      </c>
      <c r="AC78">
        <v>1</v>
      </c>
      <c r="AD78">
        <v>4</v>
      </c>
      <c r="AE78">
        <v>0</v>
      </c>
      <c r="AF78">
        <v>0</v>
      </c>
      <c r="AG78">
        <v>0</v>
      </c>
      <c r="AH78">
        <v>0</v>
      </c>
      <c r="AI78">
        <f>AJ78*ledd!$B$2+AK78*ledd!$B$3+AL78*ledd!$B$4+AM78*ledd!$B$5+AN78*ledd!$B$6+AO78*ledd!$B$7+AP78*ledd!$B$8+AQ78*ledd!$B$9+AR78*ledd!$B$10+AS78*ledd!$B$11+AT78*ledd!$B$12+AU78*ledd!$B$13+AV78*ledd!$B$14+AW78*ledd!$B$15+AX78*ledd!$B$16</f>
        <v>125</v>
      </c>
      <c r="AJ78">
        <v>0</v>
      </c>
      <c r="AK78">
        <v>100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50</v>
      </c>
      <c r="AX78">
        <v>0</v>
      </c>
      <c r="AY78">
        <v>3</v>
      </c>
      <c r="AZ78" s="3">
        <v>4</v>
      </c>
      <c r="BA78" s="3">
        <v>3</v>
      </c>
      <c r="BB78" s="3">
        <v>4</v>
      </c>
      <c r="BC78" s="3">
        <v>4</v>
      </c>
      <c r="BD78" s="3">
        <v>4</v>
      </c>
      <c r="BE78" s="3">
        <v>4</v>
      </c>
      <c r="BF78" s="3">
        <v>4</v>
      </c>
      <c r="BG78" s="3">
        <v>4</v>
      </c>
      <c r="BH78" s="3">
        <v>2</v>
      </c>
      <c r="BI78" s="3">
        <v>4</v>
      </c>
      <c r="BJ78" s="3">
        <v>2</v>
      </c>
      <c r="BK78" s="3">
        <v>3</v>
      </c>
      <c r="BL78" s="3">
        <v>2</v>
      </c>
      <c r="BM78" s="3">
        <v>4</v>
      </c>
      <c r="BN78" s="3">
        <v>3</v>
      </c>
      <c r="BO78" s="3">
        <v>1</v>
      </c>
      <c r="BP78" s="3">
        <v>2</v>
      </c>
      <c r="BQ78" s="3">
        <v>2</v>
      </c>
      <c r="BR78" s="3">
        <v>1</v>
      </c>
      <c r="BS78" s="3">
        <v>1</v>
      </c>
      <c r="BT78" s="3">
        <v>1</v>
      </c>
      <c r="BU78" s="3">
        <v>3</v>
      </c>
      <c r="BV78" s="3">
        <v>0</v>
      </c>
      <c r="BW78" s="3">
        <v>0</v>
      </c>
      <c r="BX78" s="3">
        <v>0</v>
      </c>
      <c r="BY78" s="3">
        <v>0</v>
      </c>
      <c r="BZ78" s="3">
        <v>2</v>
      </c>
      <c r="CA78" s="3">
        <v>0</v>
      </c>
      <c r="CB78" s="3">
        <v>3</v>
      </c>
      <c r="CC78" s="3">
        <v>3</v>
      </c>
      <c r="CD78" s="3">
        <v>2</v>
      </c>
      <c r="CE78" s="3">
        <v>3</v>
      </c>
      <c r="CF78" s="3">
        <v>2</v>
      </c>
      <c r="CG78" s="3">
        <v>2</v>
      </c>
      <c r="CH78" s="3">
        <v>0</v>
      </c>
      <c r="CI78" s="3">
        <v>1</v>
      </c>
      <c r="CJ78" s="3">
        <v>2</v>
      </c>
      <c r="CK78" s="3">
        <v>3</v>
      </c>
      <c r="CL78" s="3">
        <v>2</v>
      </c>
      <c r="CM78" s="3">
        <f t="shared" si="29"/>
        <v>92.5</v>
      </c>
      <c r="CN78" s="3">
        <f t="shared" si="30"/>
        <v>62.5</v>
      </c>
      <c r="CO78" s="3">
        <f t="shared" si="31"/>
        <v>41.666666666666664</v>
      </c>
      <c r="CP78" s="3">
        <f t="shared" si="32"/>
        <v>0</v>
      </c>
      <c r="CQ78" s="3">
        <f t="shared" si="33"/>
        <v>41.666666666666664</v>
      </c>
      <c r="CR78" s="3">
        <f t="shared" si="34"/>
        <v>62.5</v>
      </c>
      <c r="CS78">
        <f t="shared" si="35"/>
        <v>25</v>
      </c>
      <c r="CT78">
        <f t="shared" si="36"/>
        <v>58.333333333333336</v>
      </c>
      <c r="CU78">
        <f t="shared" si="37"/>
        <v>48.020833333333329</v>
      </c>
      <c r="CV78">
        <v>3</v>
      </c>
      <c r="CW78">
        <v>2</v>
      </c>
      <c r="CX78">
        <v>3</v>
      </c>
      <c r="CY78">
        <v>2</v>
      </c>
      <c r="CZ78">
        <v>3</v>
      </c>
      <c r="DA78">
        <v>0</v>
      </c>
      <c r="DB78">
        <v>0</v>
      </c>
      <c r="DC78">
        <v>3</v>
      </c>
      <c r="DD78">
        <v>3</v>
      </c>
      <c r="DE78">
        <v>1</v>
      </c>
      <c r="DF78">
        <v>4</v>
      </c>
      <c r="DG78">
        <v>3</v>
      </c>
      <c r="DH78">
        <v>1</v>
      </c>
      <c r="DI78">
        <v>4</v>
      </c>
      <c r="DJ78">
        <v>0</v>
      </c>
      <c r="DK78">
        <f t="shared" si="24"/>
        <v>32</v>
      </c>
      <c r="DL78">
        <v>0</v>
      </c>
      <c r="DM78">
        <v>1</v>
      </c>
      <c r="DN78">
        <v>2</v>
      </c>
      <c r="DO78">
        <v>1</v>
      </c>
      <c r="DP78">
        <v>2</v>
      </c>
      <c r="DQ78">
        <v>2</v>
      </c>
      <c r="DR78">
        <v>3</v>
      </c>
      <c r="DS78">
        <v>3</v>
      </c>
      <c r="DT78">
        <v>2</v>
      </c>
      <c r="DU78">
        <v>1</v>
      </c>
      <c r="DV78">
        <v>1</v>
      </c>
      <c r="DW78">
        <v>2</v>
      </c>
      <c r="DX78">
        <v>1</v>
      </c>
      <c r="DY78">
        <f t="shared" si="25"/>
        <v>21</v>
      </c>
      <c r="DZ78">
        <v>0</v>
      </c>
      <c r="EA78">
        <v>2</v>
      </c>
      <c r="EB78">
        <v>0</v>
      </c>
      <c r="EC78">
        <v>1</v>
      </c>
      <c r="ED78">
        <v>0</v>
      </c>
      <c r="EE78">
        <v>1</v>
      </c>
      <c r="EF78">
        <v>0</v>
      </c>
      <c r="EG78">
        <v>2</v>
      </c>
      <c r="EH78">
        <v>1</v>
      </c>
      <c r="EI78">
        <v>2</v>
      </c>
      <c r="EJ78">
        <v>1</v>
      </c>
      <c r="EK78">
        <v>2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2</v>
      </c>
      <c r="ER78">
        <v>2</v>
      </c>
      <c r="ES78">
        <v>0</v>
      </c>
      <c r="ET78">
        <v>1</v>
      </c>
      <c r="EU78">
        <v>1</v>
      </c>
      <c r="EV78">
        <v>2</v>
      </c>
      <c r="EW78">
        <v>1</v>
      </c>
      <c r="EX78">
        <v>0</v>
      </c>
      <c r="EY78">
        <v>0</v>
      </c>
      <c r="EZ78">
        <v>0</v>
      </c>
      <c r="FA78">
        <v>2</v>
      </c>
      <c r="FB78">
        <v>0</v>
      </c>
      <c r="FC78">
        <v>0</v>
      </c>
      <c r="FD78">
        <v>0</v>
      </c>
      <c r="FE78">
        <v>0</v>
      </c>
      <c r="FF78">
        <v>2</v>
      </c>
      <c r="FG78">
        <f t="shared" si="26"/>
        <v>30</v>
      </c>
      <c r="FH78">
        <v>0</v>
      </c>
      <c r="FI78">
        <v>0</v>
      </c>
      <c r="FJ78">
        <v>1</v>
      </c>
      <c r="FK78">
        <v>2</v>
      </c>
      <c r="FL78">
        <v>2</v>
      </c>
      <c r="FM78">
        <v>0</v>
      </c>
      <c r="FN78">
        <f t="shared" si="27"/>
        <v>5</v>
      </c>
      <c r="FO78">
        <f t="shared" si="38"/>
        <v>88</v>
      </c>
      <c r="FP78">
        <v>19</v>
      </c>
      <c r="FQ78">
        <v>4</v>
      </c>
      <c r="FR78">
        <v>3</v>
      </c>
      <c r="FS78">
        <v>6</v>
      </c>
      <c r="FT78">
        <v>3</v>
      </c>
      <c r="FU78">
        <v>2</v>
      </c>
      <c r="FV78">
        <v>1</v>
      </c>
      <c r="FW78">
        <v>6</v>
      </c>
      <c r="FX78">
        <f t="shared" si="39"/>
        <v>25</v>
      </c>
      <c r="FY78">
        <v>3</v>
      </c>
      <c r="FZ78">
        <f t="shared" si="28"/>
        <v>6</v>
      </c>
      <c r="GA78">
        <v>0</v>
      </c>
    </row>
    <row r="79" spans="1:183" x14ac:dyDescent="0.2">
      <c r="A79">
        <v>78</v>
      </c>
      <c r="B79">
        <v>1</v>
      </c>
      <c r="C79">
        <v>1</v>
      </c>
      <c r="D79">
        <v>1</v>
      </c>
      <c r="E79" s="2">
        <v>19967</v>
      </c>
      <c r="F79" s="2">
        <v>44732</v>
      </c>
      <c r="G79" s="3">
        <f t="shared" si="22"/>
        <v>67.75</v>
      </c>
      <c r="H79">
        <v>60</v>
      </c>
      <c r="I79" s="3">
        <f t="shared" si="23"/>
        <v>7.75</v>
      </c>
      <c r="J79">
        <v>0</v>
      </c>
      <c r="K79">
        <v>1</v>
      </c>
      <c r="L79">
        <v>8</v>
      </c>
      <c r="M79">
        <v>0</v>
      </c>
      <c r="N79">
        <v>2</v>
      </c>
      <c r="O79">
        <v>0</v>
      </c>
      <c r="P79">
        <v>3</v>
      </c>
      <c r="Q79">
        <v>4</v>
      </c>
      <c r="R79">
        <v>3</v>
      </c>
      <c r="S79">
        <v>1</v>
      </c>
      <c r="T79">
        <v>1</v>
      </c>
      <c r="U79">
        <v>0</v>
      </c>
      <c r="V79">
        <v>0</v>
      </c>
      <c r="W79">
        <v>0</v>
      </c>
      <c r="X79">
        <v>2</v>
      </c>
      <c r="Y79">
        <v>2</v>
      </c>
      <c r="Z79">
        <v>0</v>
      </c>
      <c r="AA79">
        <v>2</v>
      </c>
      <c r="AB79">
        <v>0</v>
      </c>
      <c r="AC79">
        <v>0</v>
      </c>
      <c r="AD79">
        <v>6</v>
      </c>
      <c r="AE79">
        <v>0</v>
      </c>
      <c r="AF79">
        <v>0</v>
      </c>
      <c r="AG79">
        <v>0</v>
      </c>
      <c r="AH79">
        <v>0</v>
      </c>
      <c r="AI79">
        <f>AJ79*ledd!$B$2+AK79*ledd!$B$3+AL79*ledd!$B$4+AM79*ledd!$B$5+AN79*ledd!$B$6+AO79*ledd!$B$7+AP79*ledd!$B$8+AQ79*ledd!$B$9+AR79*ledd!$B$10+AS79*ledd!$B$11+AT79*ledd!$B$12+AU79*ledd!$B$13+AV79*ledd!$B$14+AW79*ledd!$B$15+AX79*ledd!$B$16</f>
        <v>440</v>
      </c>
      <c r="AJ79">
        <v>200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8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2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2</v>
      </c>
      <c r="BJ79" s="3">
        <v>0</v>
      </c>
      <c r="BK79" s="3">
        <v>0</v>
      </c>
      <c r="BL79" s="3">
        <v>1</v>
      </c>
      <c r="BM79" s="3">
        <v>2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0</v>
      </c>
      <c r="CA79" s="3">
        <v>0</v>
      </c>
      <c r="CB79" s="3">
        <v>0</v>
      </c>
      <c r="CC79" s="3">
        <v>2</v>
      </c>
      <c r="CD79" s="3">
        <v>1</v>
      </c>
      <c r="CE79" s="3">
        <v>2</v>
      </c>
      <c r="CF79" s="3">
        <v>2</v>
      </c>
      <c r="CG79" s="3">
        <v>2</v>
      </c>
      <c r="CH79" s="3">
        <v>0</v>
      </c>
      <c r="CI79" s="3">
        <v>0</v>
      </c>
      <c r="CJ79" s="3">
        <v>3</v>
      </c>
      <c r="CK79" s="3">
        <v>0</v>
      </c>
      <c r="CL79" s="3">
        <v>0</v>
      </c>
      <c r="CM79" s="3">
        <f t="shared" si="29"/>
        <v>5</v>
      </c>
      <c r="CN79" s="3">
        <f t="shared" si="30"/>
        <v>12.5</v>
      </c>
      <c r="CO79" s="3">
        <f t="shared" si="31"/>
        <v>0</v>
      </c>
      <c r="CP79" s="3">
        <f t="shared" si="32"/>
        <v>0</v>
      </c>
      <c r="CQ79" s="3">
        <f t="shared" si="33"/>
        <v>0</v>
      </c>
      <c r="CR79" s="3">
        <f t="shared" si="34"/>
        <v>43.75</v>
      </c>
      <c r="CS79">
        <f t="shared" si="35"/>
        <v>16.666666666666668</v>
      </c>
      <c r="CT79">
        <f t="shared" si="36"/>
        <v>25</v>
      </c>
      <c r="CU79">
        <f t="shared" si="37"/>
        <v>12.864583333333334</v>
      </c>
      <c r="CV79">
        <v>1</v>
      </c>
      <c r="CW79">
        <v>4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2</v>
      </c>
      <c r="DD79">
        <v>1</v>
      </c>
      <c r="DE79">
        <v>3</v>
      </c>
      <c r="DF79">
        <v>2</v>
      </c>
      <c r="DG79">
        <v>0</v>
      </c>
      <c r="DH79">
        <v>0</v>
      </c>
      <c r="DI79">
        <v>0</v>
      </c>
      <c r="DJ79">
        <v>0</v>
      </c>
      <c r="DK79">
        <f t="shared" si="24"/>
        <v>13</v>
      </c>
      <c r="DL79">
        <v>2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2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f t="shared" si="25"/>
        <v>4</v>
      </c>
      <c r="DZ79">
        <v>2</v>
      </c>
      <c r="EA79">
        <v>2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1</v>
      </c>
      <c r="EH79">
        <v>0</v>
      </c>
      <c r="EI79">
        <v>0</v>
      </c>
      <c r="EJ79">
        <v>0</v>
      </c>
      <c r="EK79">
        <v>1</v>
      </c>
      <c r="EL79">
        <v>1</v>
      </c>
      <c r="EM79">
        <v>0</v>
      </c>
      <c r="EN79">
        <v>0</v>
      </c>
      <c r="EO79">
        <v>0</v>
      </c>
      <c r="EP79">
        <v>0</v>
      </c>
      <c r="EQ79">
        <v>1</v>
      </c>
      <c r="ER79">
        <v>0</v>
      </c>
      <c r="ES79">
        <v>0</v>
      </c>
      <c r="ET79">
        <v>0</v>
      </c>
      <c r="EU79">
        <v>1</v>
      </c>
      <c r="EV79">
        <v>1</v>
      </c>
      <c r="EW79">
        <v>1</v>
      </c>
      <c r="EX79">
        <v>1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f t="shared" si="26"/>
        <v>12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f t="shared" si="27"/>
        <v>0</v>
      </c>
      <c r="FO79">
        <f t="shared" si="38"/>
        <v>29</v>
      </c>
      <c r="FP79">
        <v>1</v>
      </c>
      <c r="FQ79">
        <v>5</v>
      </c>
      <c r="FR79">
        <v>3</v>
      </c>
      <c r="FS79">
        <v>6</v>
      </c>
      <c r="FT79">
        <v>3</v>
      </c>
      <c r="FU79">
        <v>2</v>
      </c>
      <c r="FV79">
        <v>3</v>
      </c>
      <c r="FW79">
        <v>6</v>
      </c>
      <c r="FX79">
        <f t="shared" si="39"/>
        <v>28</v>
      </c>
      <c r="FY79">
        <v>0</v>
      </c>
      <c r="FZ79">
        <f t="shared" si="28"/>
        <v>2</v>
      </c>
      <c r="GA79">
        <v>1</v>
      </c>
    </row>
    <row r="80" spans="1:183" x14ac:dyDescent="0.2">
      <c r="A80">
        <v>79</v>
      </c>
      <c r="B80">
        <v>1</v>
      </c>
      <c r="C80">
        <v>1</v>
      </c>
      <c r="D80">
        <v>1</v>
      </c>
      <c r="E80" s="2">
        <v>31118</v>
      </c>
      <c r="F80" s="2">
        <v>44735</v>
      </c>
      <c r="G80" s="3">
        <f t="shared" si="22"/>
        <v>37.25</v>
      </c>
      <c r="H80">
        <v>30</v>
      </c>
      <c r="I80" s="3">
        <f t="shared" si="23"/>
        <v>7.25</v>
      </c>
      <c r="J80">
        <v>0</v>
      </c>
      <c r="K80">
        <v>1</v>
      </c>
      <c r="L80">
        <v>0</v>
      </c>
      <c r="M80">
        <v>0</v>
      </c>
      <c r="N80">
        <v>5</v>
      </c>
      <c r="O80">
        <v>0</v>
      </c>
      <c r="P80">
        <v>3</v>
      </c>
      <c r="Q80">
        <v>3</v>
      </c>
      <c r="R80">
        <v>2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1</v>
      </c>
      <c r="Z80">
        <v>0</v>
      </c>
      <c r="AA80">
        <v>4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f>AJ80*ledd!$B$2+AK80*ledd!$B$3+AL80*ledd!$B$4+AM80*ledd!$B$5+AN80*ledd!$B$6+AO80*ledd!$B$7+AP80*ledd!$B$8+AQ80*ledd!$B$9+AR80*ledd!$B$10+AS80*ledd!$B$11+AT80*ledd!$B$12+AU80*ledd!$B$13+AV80*ledd!$B$14+AW80*ledd!$B$15+AX80*ledd!$B$16</f>
        <v>500</v>
      </c>
      <c r="AJ80">
        <v>500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2</v>
      </c>
      <c r="AZ80" s="3">
        <v>3</v>
      </c>
      <c r="BA80" s="3">
        <v>3</v>
      </c>
      <c r="BB80" s="3">
        <v>1</v>
      </c>
      <c r="BC80" s="3">
        <v>2</v>
      </c>
      <c r="BD80" s="3">
        <v>2</v>
      </c>
      <c r="BE80" s="3">
        <v>2</v>
      </c>
      <c r="BF80" s="3">
        <v>2</v>
      </c>
      <c r="BG80" s="3">
        <v>1</v>
      </c>
      <c r="BH80" s="3">
        <v>0</v>
      </c>
      <c r="BI80" s="3">
        <v>2</v>
      </c>
      <c r="BJ80" s="3">
        <v>2</v>
      </c>
      <c r="BK80" s="3">
        <v>3</v>
      </c>
      <c r="BL80" s="3">
        <v>3</v>
      </c>
      <c r="BM80" s="3">
        <v>2</v>
      </c>
      <c r="BN80" s="3">
        <v>2</v>
      </c>
      <c r="BO80" s="3">
        <v>1</v>
      </c>
      <c r="BP80" s="3">
        <v>1</v>
      </c>
      <c r="BQ80" s="3">
        <v>1</v>
      </c>
      <c r="BR80" s="3">
        <v>1</v>
      </c>
      <c r="BS80" s="3">
        <v>1</v>
      </c>
      <c r="BT80" s="3">
        <v>1</v>
      </c>
      <c r="BU80" s="3">
        <v>1</v>
      </c>
      <c r="BV80" s="3">
        <v>1</v>
      </c>
      <c r="BW80" s="3">
        <v>2</v>
      </c>
      <c r="BX80" s="3">
        <v>1</v>
      </c>
      <c r="BY80" s="3">
        <v>1</v>
      </c>
      <c r="BZ80" s="3">
        <v>1</v>
      </c>
      <c r="CA80" s="3">
        <v>1</v>
      </c>
      <c r="CB80" s="3">
        <v>1</v>
      </c>
      <c r="CC80" s="3">
        <v>0</v>
      </c>
      <c r="CD80" s="3">
        <v>1</v>
      </c>
      <c r="CE80" s="3">
        <v>0</v>
      </c>
      <c r="CF80" s="3">
        <v>0</v>
      </c>
      <c r="CG80" s="3">
        <v>2</v>
      </c>
      <c r="CH80" s="3">
        <v>1</v>
      </c>
      <c r="CI80" s="3">
        <v>1</v>
      </c>
      <c r="CJ80" s="3">
        <v>3</v>
      </c>
      <c r="CK80" s="3">
        <v>0</v>
      </c>
      <c r="CL80" s="3">
        <v>0</v>
      </c>
      <c r="CM80" s="3">
        <f t="shared" si="29"/>
        <v>45</v>
      </c>
      <c r="CN80" s="3">
        <f t="shared" si="30"/>
        <v>54.166666666666664</v>
      </c>
      <c r="CO80" s="3">
        <f t="shared" si="31"/>
        <v>25</v>
      </c>
      <c r="CP80" s="3">
        <f t="shared" si="32"/>
        <v>31.25</v>
      </c>
      <c r="CQ80" s="3">
        <f t="shared" si="33"/>
        <v>25</v>
      </c>
      <c r="CR80" s="3">
        <f t="shared" si="34"/>
        <v>6.25</v>
      </c>
      <c r="CS80">
        <f t="shared" si="35"/>
        <v>33.333333333333336</v>
      </c>
      <c r="CT80">
        <f t="shared" si="36"/>
        <v>25</v>
      </c>
      <c r="CU80">
        <f t="shared" si="37"/>
        <v>30.625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3</v>
      </c>
      <c r="DB80">
        <v>0</v>
      </c>
      <c r="DC80">
        <v>2</v>
      </c>
      <c r="DD80">
        <v>0</v>
      </c>
      <c r="DE80">
        <v>4</v>
      </c>
      <c r="DF80">
        <v>0</v>
      </c>
      <c r="DG80">
        <v>0</v>
      </c>
      <c r="DH80">
        <v>0</v>
      </c>
      <c r="DI80">
        <v>1</v>
      </c>
      <c r="DJ80">
        <v>0</v>
      </c>
      <c r="DK80">
        <f t="shared" si="24"/>
        <v>10</v>
      </c>
      <c r="DL80">
        <v>1</v>
      </c>
      <c r="DM80">
        <v>1</v>
      </c>
      <c r="DN80">
        <v>0</v>
      </c>
      <c r="DO80">
        <v>3</v>
      </c>
      <c r="DP80">
        <v>2</v>
      </c>
      <c r="DQ80">
        <v>0</v>
      </c>
      <c r="DR80">
        <v>0</v>
      </c>
      <c r="DS80">
        <v>2</v>
      </c>
      <c r="DT80">
        <v>1</v>
      </c>
      <c r="DU80">
        <v>0</v>
      </c>
      <c r="DV80">
        <v>1</v>
      </c>
      <c r="DW80">
        <v>0</v>
      </c>
      <c r="DX80">
        <v>2</v>
      </c>
      <c r="DY80">
        <f t="shared" si="25"/>
        <v>13</v>
      </c>
      <c r="DZ80">
        <v>1</v>
      </c>
      <c r="EA80">
        <v>2</v>
      </c>
      <c r="EB80">
        <v>2</v>
      </c>
      <c r="EC80">
        <v>0</v>
      </c>
      <c r="ED80">
        <v>0</v>
      </c>
      <c r="EE80">
        <v>1</v>
      </c>
      <c r="EF80">
        <v>1</v>
      </c>
      <c r="EG80">
        <v>1</v>
      </c>
      <c r="EH80">
        <v>0</v>
      </c>
      <c r="EI80">
        <v>1</v>
      </c>
      <c r="EJ80">
        <v>0</v>
      </c>
      <c r="EK80">
        <v>1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1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f t="shared" si="26"/>
        <v>11</v>
      </c>
      <c r="FH80">
        <v>0</v>
      </c>
      <c r="FI80">
        <v>0</v>
      </c>
      <c r="FJ80">
        <v>1</v>
      </c>
      <c r="FK80">
        <v>4</v>
      </c>
      <c r="FL80">
        <v>1</v>
      </c>
      <c r="FM80">
        <v>2</v>
      </c>
      <c r="FN80">
        <f t="shared" si="27"/>
        <v>8</v>
      </c>
      <c r="FO80">
        <f t="shared" si="38"/>
        <v>42</v>
      </c>
      <c r="FP80">
        <v>8</v>
      </c>
      <c r="FQ80">
        <v>5</v>
      </c>
      <c r="FR80">
        <v>3</v>
      </c>
      <c r="FS80">
        <v>6</v>
      </c>
      <c r="FT80">
        <v>3</v>
      </c>
      <c r="FU80">
        <v>2</v>
      </c>
      <c r="FV80">
        <v>5</v>
      </c>
      <c r="FW80">
        <v>6</v>
      </c>
      <c r="FX80">
        <f t="shared" si="39"/>
        <v>30</v>
      </c>
      <c r="FY80">
        <v>0</v>
      </c>
      <c r="FZ80">
        <f t="shared" si="28"/>
        <v>0</v>
      </c>
      <c r="GA80">
        <v>0</v>
      </c>
    </row>
    <row r="81" spans="1:183" x14ac:dyDescent="0.2">
      <c r="A81">
        <v>80</v>
      </c>
      <c r="B81">
        <v>1</v>
      </c>
      <c r="C81">
        <v>1</v>
      </c>
      <c r="D81">
        <v>0</v>
      </c>
      <c r="E81" s="2">
        <v>17319</v>
      </c>
      <c r="F81" s="2">
        <v>44739</v>
      </c>
      <c r="G81" s="3">
        <f t="shared" si="22"/>
        <v>75</v>
      </c>
      <c r="H81">
        <v>65</v>
      </c>
      <c r="I81" s="3">
        <f t="shared" si="23"/>
        <v>10</v>
      </c>
      <c r="J81">
        <v>0</v>
      </c>
      <c r="K81">
        <v>5</v>
      </c>
      <c r="L81">
        <v>8</v>
      </c>
      <c r="M81">
        <v>0</v>
      </c>
      <c r="N81">
        <v>1</v>
      </c>
      <c r="O81">
        <v>0</v>
      </c>
      <c r="P81">
        <v>1</v>
      </c>
      <c r="Q81">
        <v>4</v>
      </c>
      <c r="R81">
        <v>3</v>
      </c>
      <c r="S81">
        <v>1</v>
      </c>
      <c r="T81">
        <v>1</v>
      </c>
      <c r="U81">
        <v>0</v>
      </c>
      <c r="V81">
        <v>1</v>
      </c>
      <c r="W81">
        <v>1</v>
      </c>
      <c r="X81">
        <v>2</v>
      </c>
      <c r="Y81">
        <v>1</v>
      </c>
      <c r="Z81">
        <v>1</v>
      </c>
      <c r="AA81">
        <v>1</v>
      </c>
      <c r="AB81">
        <v>1</v>
      </c>
      <c r="AC81">
        <v>4</v>
      </c>
      <c r="AD81">
        <v>4</v>
      </c>
      <c r="AE81">
        <v>0</v>
      </c>
      <c r="AF81">
        <v>0</v>
      </c>
      <c r="AG81">
        <v>0</v>
      </c>
      <c r="AH81">
        <v>0</v>
      </c>
      <c r="AI81">
        <f>AJ81*ledd!$B$2+AK81*ledd!$B$3+AL81*ledd!$B$4+AM81*ledd!$B$5+AN81*ledd!$B$6+AO81*ledd!$B$7+AP81*ledd!$B$8+AQ81*ledd!$B$9+AR81*ledd!$B$10+AS81*ledd!$B$11+AT81*ledd!$B$12+AU81*ledd!$B$13+AV81*ledd!$B$14+AW81*ledd!$B$15+AX81*ledd!$B$16</f>
        <v>641.5</v>
      </c>
      <c r="AJ81">
        <v>385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8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50</v>
      </c>
      <c r="AY81">
        <v>4</v>
      </c>
      <c r="AZ81" s="3">
        <v>4</v>
      </c>
      <c r="BA81" s="3">
        <v>2</v>
      </c>
      <c r="BB81" s="3">
        <v>1</v>
      </c>
      <c r="BC81" s="3">
        <v>3</v>
      </c>
      <c r="BD81" s="3">
        <v>1</v>
      </c>
      <c r="BE81" s="3">
        <v>1</v>
      </c>
      <c r="BF81" s="3">
        <v>2</v>
      </c>
      <c r="BG81" s="3">
        <v>2</v>
      </c>
      <c r="BH81" s="3">
        <v>3</v>
      </c>
      <c r="BI81" s="3">
        <v>3</v>
      </c>
      <c r="BJ81" s="3">
        <v>0</v>
      </c>
      <c r="BK81" s="3">
        <v>1</v>
      </c>
      <c r="BL81" s="3">
        <v>1</v>
      </c>
      <c r="BM81" s="3">
        <v>2</v>
      </c>
      <c r="BN81" s="3">
        <v>0</v>
      </c>
      <c r="BO81" s="3">
        <v>1</v>
      </c>
      <c r="BP81" s="3">
        <v>2</v>
      </c>
      <c r="BQ81" s="3">
        <v>2</v>
      </c>
      <c r="BR81" s="3">
        <v>1</v>
      </c>
      <c r="BS81" s="3">
        <v>1</v>
      </c>
      <c r="BT81" s="3">
        <v>2</v>
      </c>
      <c r="BU81" s="3">
        <v>2</v>
      </c>
      <c r="BV81" s="3">
        <v>0</v>
      </c>
      <c r="BW81" s="3">
        <v>0</v>
      </c>
      <c r="BX81" s="3">
        <v>1</v>
      </c>
      <c r="BY81" s="3">
        <v>1</v>
      </c>
      <c r="BZ81" s="3">
        <v>2</v>
      </c>
      <c r="CA81" s="3">
        <v>1</v>
      </c>
      <c r="CB81" s="3">
        <v>1</v>
      </c>
      <c r="CC81" s="3">
        <v>1</v>
      </c>
      <c r="CD81" s="3">
        <v>2</v>
      </c>
      <c r="CE81" s="3">
        <v>2</v>
      </c>
      <c r="CF81" s="3">
        <v>1</v>
      </c>
      <c r="CG81" s="3">
        <v>2</v>
      </c>
      <c r="CH81" s="3">
        <v>1</v>
      </c>
      <c r="CI81" s="3">
        <v>1</v>
      </c>
      <c r="CJ81" s="3">
        <v>2</v>
      </c>
      <c r="CK81" s="3">
        <v>3</v>
      </c>
      <c r="CL81" s="3">
        <v>0</v>
      </c>
      <c r="CM81" s="3">
        <f t="shared" si="29"/>
        <v>55</v>
      </c>
      <c r="CN81" s="3">
        <f t="shared" si="30"/>
        <v>20.833333333333332</v>
      </c>
      <c r="CO81" s="3">
        <f t="shared" si="31"/>
        <v>41.666666666666664</v>
      </c>
      <c r="CP81" s="3">
        <f t="shared" si="32"/>
        <v>12.5</v>
      </c>
      <c r="CQ81" s="3">
        <f t="shared" si="33"/>
        <v>33.333333333333336</v>
      </c>
      <c r="CR81" s="3">
        <f t="shared" si="34"/>
        <v>37.5</v>
      </c>
      <c r="CS81">
        <f t="shared" si="35"/>
        <v>33.333333333333336</v>
      </c>
      <c r="CT81">
        <f t="shared" si="36"/>
        <v>41.666666666666664</v>
      </c>
      <c r="CU81">
        <f t="shared" si="37"/>
        <v>34.479166666666671</v>
      </c>
      <c r="CV81">
        <v>1</v>
      </c>
      <c r="CW81">
        <v>2</v>
      </c>
      <c r="CX81">
        <v>2</v>
      </c>
      <c r="CY81">
        <v>0</v>
      </c>
      <c r="CZ81">
        <v>0</v>
      </c>
      <c r="DA81">
        <v>0</v>
      </c>
      <c r="DB81">
        <v>0</v>
      </c>
      <c r="DC81">
        <v>2</v>
      </c>
      <c r="DD81">
        <v>1</v>
      </c>
      <c r="DE81">
        <v>4</v>
      </c>
      <c r="DF81">
        <v>4</v>
      </c>
      <c r="DG81">
        <v>2</v>
      </c>
      <c r="DH81">
        <v>0</v>
      </c>
      <c r="DI81">
        <v>1</v>
      </c>
      <c r="DJ81">
        <v>0</v>
      </c>
      <c r="DK81">
        <f t="shared" si="24"/>
        <v>19</v>
      </c>
      <c r="DL81">
        <v>1</v>
      </c>
      <c r="DM81">
        <v>0</v>
      </c>
      <c r="DN81">
        <v>2</v>
      </c>
      <c r="DO81">
        <v>1</v>
      </c>
      <c r="DP81">
        <v>2</v>
      </c>
      <c r="DQ81">
        <v>1</v>
      </c>
      <c r="DR81">
        <v>1</v>
      </c>
      <c r="DS81">
        <v>2</v>
      </c>
      <c r="DT81">
        <v>1</v>
      </c>
      <c r="DU81">
        <v>0</v>
      </c>
      <c r="DV81">
        <v>2</v>
      </c>
      <c r="DW81">
        <v>0</v>
      </c>
      <c r="DX81">
        <v>0</v>
      </c>
      <c r="DY81">
        <f t="shared" si="25"/>
        <v>13</v>
      </c>
      <c r="DZ81">
        <v>2</v>
      </c>
      <c r="EA81">
        <v>2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1</v>
      </c>
      <c r="EH81">
        <v>1</v>
      </c>
      <c r="EI81">
        <v>2</v>
      </c>
      <c r="EJ81">
        <v>1</v>
      </c>
      <c r="EK81">
        <v>2</v>
      </c>
      <c r="EL81">
        <v>1</v>
      </c>
      <c r="EM81">
        <v>1</v>
      </c>
      <c r="EN81">
        <v>1</v>
      </c>
      <c r="EO81">
        <v>2</v>
      </c>
      <c r="EP81">
        <v>2</v>
      </c>
      <c r="EQ81">
        <v>2</v>
      </c>
      <c r="ER81">
        <v>4</v>
      </c>
      <c r="ES81">
        <v>1</v>
      </c>
      <c r="ET81">
        <v>3</v>
      </c>
      <c r="EU81">
        <v>4</v>
      </c>
      <c r="EV81">
        <v>3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f t="shared" si="26"/>
        <v>35</v>
      </c>
      <c r="FH81">
        <v>2</v>
      </c>
      <c r="FI81">
        <v>0</v>
      </c>
      <c r="FJ81">
        <v>2</v>
      </c>
      <c r="FK81">
        <v>0</v>
      </c>
      <c r="FL81">
        <v>0</v>
      </c>
      <c r="FM81">
        <v>2</v>
      </c>
      <c r="FN81">
        <f t="shared" si="27"/>
        <v>6</v>
      </c>
      <c r="FO81">
        <f t="shared" si="38"/>
        <v>73</v>
      </c>
      <c r="FP81">
        <v>19</v>
      </c>
      <c r="FQ81">
        <v>3</v>
      </c>
      <c r="FR81">
        <v>3</v>
      </c>
      <c r="FS81">
        <v>6</v>
      </c>
      <c r="FT81">
        <v>3</v>
      </c>
      <c r="FU81">
        <v>2</v>
      </c>
      <c r="FV81">
        <v>3</v>
      </c>
      <c r="FW81">
        <v>6</v>
      </c>
      <c r="FX81">
        <f t="shared" si="39"/>
        <v>26</v>
      </c>
      <c r="FY81">
        <v>0</v>
      </c>
      <c r="FZ81">
        <f t="shared" si="28"/>
        <v>3</v>
      </c>
      <c r="GA81">
        <v>0</v>
      </c>
    </row>
    <row r="82" spans="1:183" x14ac:dyDescent="0.2">
      <c r="A82">
        <v>81</v>
      </c>
      <c r="B82">
        <v>1</v>
      </c>
      <c r="C82">
        <v>1</v>
      </c>
      <c r="D82">
        <v>1</v>
      </c>
      <c r="E82" s="2">
        <v>19062</v>
      </c>
      <c r="F82" s="2">
        <v>44741</v>
      </c>
      <c r="G82" s="3">
        <f t="shared" si="22"/>
        <v>70.25</v>
      </c>
      <c r="H82">
        <v>67</v>
      </c>
      <c r="I82" s="3">
        <f t="shared" si="23"/>
        <v>3.25</v>
      </c>
      <c r="J82">
        <v>0</v>
      </c>
      <c r="K82">
        <v>0</v>
      </c>
      <c r="L82">
        <v>8</v>
      </c>
      <c r="M82">
        <v>0</v>
      </c>
      <c r="N82">
        <v>1</v>
      </c>
      <c r="O82">
        <v>0</v>
      </c>
      <c r="P82">
        <v>2</v>
      </c>
      <c r="Q82">
        <v>4</v>
      </c>
      <c r="R82">
        <v>3</v>
      </c>
      <c r="S82">
        <v>1</v>
      </c>
      <c r="T82">
        <v>1</v>
      </c>
      <c r="U82">
        <v>0</v>
      </c>
      <c r="V82">
        <v>1</v>
      </c>
      <c r="W82">
        <v>1</v>
      </c>
      <c r="X82">
        <v>2</v>
      </c>
      <c r="Y82">
        <v>3</v>
      </c>
      <c r="Z82">
        <v>0</v>
      </c>
      <c r="AA82">
        <v>2</v>
      </c>
      <c r="AB82">
        <v>0</v>
      </c>
      <c r="AC82">
        <v>4</v>
      </c>
      <c r="AD82">
        <v>4</v>
      </c>
      <c r="AE82">
        <v>1</v>
      </c>
      <c r="AF82">
        <v>0</v>
      </c>
      <c r="AG82">
        <v>0</v>
      </c>
      <c r="AH82">
        <v>0</v>
      </c>
      <c r="AI82">
        <f>AJ82*ledd!$B$2+AK82*ledd!$B$3+AL82*ledd!$B$4+AM82*ledd!$B$5+AN82*ledd!$B$6+AO82*ledd!$B$7+AP82*ledd!$B$8+AQ82*ledd!$B$9+AR82*ledd!$B$10+AS82*ledd!$B$11+AT82*ledd!$B$12+AU82*ledd!$B$13+AV82*ledd!$B$14+AW82*ledd!$B$15+AX82*ledd!$B$16</f>
        <v>1030</v>
      </c>
      <c r="AJ82">
        <v>700</v>
      </c>
      <c r="AK82">
        <v>0</v>
      </c>
      <c r="AL82">
        <v>1000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4</v>
      </c>
      <c r="AZ82" s="3">
        <v>3</v>
      </c>
      <c r="BA82" s="3">
        <v>2</v>
      </c>
      <c r="BB82" s="3">
        <v>2</v>
      </c>
      <c r="BC82" s="3">
        <v>2</v>
      </c>
      <c r="BD82" s="3">
        <v>2</v>
      </c>
      <c r="BE82" s="3">
        <v>3</v>
      </c>
      <c r="BF82" s="3">
        <v>2</v>
      </c>
      <c r="BG82" s="3">
        <v>0</v>
      </c>
      <c r="BH82" s="3">
        <v>1</v>
      </c>
      <c r="BI82" s="3">
        <v>1</v>
      </c>
      <c r="BJ82" s="3">
        <v>0</v>
      </c>
      <c r="BK82" s="3">
        <v>0</v>
      </c>
      <c r="BL82" s="3">
        <v>1</v>
      </c>
      <c r="BM82" s="3">
        <v>2</v>
      </c>
      <c r="BN82" s="3">
        <v>0</v>
      </c>
      <c r="BO82" s="3">
        <v>0</v>
      </c>
      <c r="BP82" s="3">
        <v>2</v>
      </c>
      <c r="BQ82" s="3">
        <v>1</v>
      </c>
      <c r="BR82" s="3">
        <v>2</v>
      </c>
      <c r="BS82" s="3">
        <v>1</v>
      </c>
      <c r="BT82" s="3">
        <v>1</v>
      </c>
      <c r="BU82" s="3">
        <v>1</v>
      </c>
      <c r="BV82" s="3">
        <v>0</v>
      </c>
      <c r="BW82" s="3">
        <v>1</v>
      </c>
      <c r="BX82" s="3">
        <v>0</v>
      </c>
      <c r="BY82" s="3">
        <v>1</v>
      </c>
      <c r="BZ82" s="3">
        <v>0</v>
      </c>
      <c r="CA82" s="3">
        <v>1</v>
      </c>
      <c r="CB82" s="3">
        <v>0</v>
      </c>
      <c r="CC82" s="3">
        <v>1</v>
      </c>
      <c r="CD82" s="3">
        <v>0</v>
      </c>
      <c r="CE82" s="3">
        <v>1</v>
      </c>
      <c r="CF82" s="3">
        <v>1</v>
      </c>
      <c r="CG82" s="3">
        <v>2</v>
      </c>
      <c r="CH82" s="3">
        <v>1</v>
      </c>
      <c r="CI82" s="3">
        <v>1</v>
      </c>
      <c r="CJ82" s="3">
        <v>1</v>
      </c>
      <c r="CK82" s="3">
        <v>2</v>
      </c>
      <c r="CL82" s="3">
        <v>1</v>
      </c>
      <c r="CM82" s="3">
        <f t="shared" si="29"/>
        <v>45</v>
      </c>
      <c r="CN82" s="3">
        <f t="shared" si="30"/>
        <v>12.5</v>
      </c>
      <c r="CO82" s="3">
        <f t="shared" si="31"/>
        <v>33.333333333333336</v>
      </c>
      <c r="CP82" s="3">
        <f t="shared" si="32"/>
        <v>12.5</v>
      </c>
      <c r="CQ82" s="3">
        <f t="shared" si="33"/>
        <v>8.3333333333333339</v>
      </c>
      <c r="CR82" s="3">
        <f t="shared" si="34"/>
        <v>18.75</v>
      </c>
      <c r="CS82">
        <f t="shared" si="35"/>
        <v>33.333333333333336</v>
      </c>
      <c r="CT82">
        <f t="shared" si="36"/>
        <v>33.333333333333336</v>
      </c>
      <c r="CU82">
        <f t="shared" si="37"/>
        <v>24.635416666666671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f t="shared" si="24"/>
        <v>1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1</v>
      </c>
      <c r="DS82">
        <v>0</v>
      </c>
      <c r="DT82">
        <v>2</v>
      </c>
      <c r="DU82">
        <v>0</v>
      </c>
      <c r="DV82">
        <v>2</v>
      </c>
      <c r="DW82">
        <v>2</v>
      </c>
      <c r="DX82">
        <v>4</v>
      </c>
      <c r="DY82">
        <f t="shared" si="25"/>
        <v>11</v>
      </c>
      <c r="DZ82">
        <v>0</v>
      </c>
      <c r="EA82">
        <v>2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1</v>
      </c>
      <c r="EI82">
        <v>0</v>
      </c>
      <c r="EJ82">
        <v>1</v>
      </c>
      <c r="EK82">
        <v>0</v>
      </c>
      <c r="EL82">
        <v>1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2</v>
      </c>
      <c r="ES82">
        <v>0</v>
      </c>
      <c r="ET82">
        <v>0</v>
      </c>
      <c r="EU82">
        <v>1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f t="shared" si="26"/>
        <v>8</v>
      </c>
      <c r="FH82">
        <v>1</v>
      </c>
      <c r="FI82">
        <v>1</v>
      </c>
      <c r="FJ82">
        <v>1</v>
      </c>
      <c r="FK82">
        <v>1</v>
      </c>
      <c r="FL82">
        <v>3</v>
      </c>
      <c r="FM82">
        <v>0</v>
      </c>
      <c r="FN82">
        <f t="shared" si="27"/>
        <v>7</v>
      </c>
      <c r="FO82">
        <f t="shared" si="38"/>
        <v>27</v>
      </c>
      <c r="FP82">
        <v>10</v>
      </c>
      <c r="FQ82">
        <v>5</v>
      </c>
      <c r="FR82">
        <v>3</v>
      </c>
      <c r="FS82">
        <v>6</v>
      </c>
      <c r="FT82">
        <v>2</v>
      </c>
      <c r="FU82">
        <v>2</v>
      </c>
      <c r="FV82">
        <v>3</v>
      </c>
      <c r="FW82">
        <v>6</v>
      </c>
      <c r="FX82">
        <f t="shared" si="39"/>
        <v>27</v>
      </c>
      <c r="FY82">
        <v>0</v>
      </c>
      <c r="FZ82">
        <f t="shared" si="28"/>
        <v>3</v>
      </c>
      <c r="GA82">
        <v>0</v>
      </c>
    </row>
    <row r="83" spans="1:183" x14ac:dyDescent="0.2">
      <c r="A83">
        <v>82</v>
      </c>
      <c r="B83">
        <v>1</v>
      </c>
      <c r="C83">
        <v>1</v>
      </c>
      <c r="D83">
        <v>1</v>
      </c>
      <c r="E83" s="2">
        <v>22720</v>
      </c>
      <c r="F83" s="2">
        <v>44754</v>
      </c>
      <c r="G83" s="3">
        <f t="shared" si="22"/>
        <v>60.25</v>
      </c>
      <c r="H83">
        <v>47</v>
      </c>
      <c r="I83" s="3">
        <f t="shared" si="23"/>
        <v>13.25</v>
      </c>
      <c r="J83">
        <v>0</v>
      </c>
      <c r="K83">
        <v>4</v>
      </c>
      <c r="L83">
        <v>1</v>
      </c>
      <c r="M83">
        <v>0</v>
      </c>
      <c r="N83">
        <v>2</v>
      </c>
      <c r="O83">
        <v>0</v>
      </c>
      <c r="P83">
        <v>1</v>
      </c>
      <c r="Q83">
        <v>4</v>
      </c>
      <c r="R83">
        <v>3</v>
      </c>
      <c r="S83">
        <v>0</v>
      </c>
      <c r="T83">
        <v>0</v>
      </c>
      <c r="U83">
        <v>0</v>
      </c>
      <c r="V83">
        <v>1</v>
      </c>
      <c r="W83">
        <v>1</v>
      </c>
      <c r="X83">
        <v>2</v>
      </c>
      <c r="Y83">
        <v>2</v>
      </c>
      <c r="Z83">
        <v>0</v>
      </c>
      <c r="AA83">
        <v>2</v>
      </c>
      <c r="AB83">
        <v>0</v>
      </c>
      <c r="AC83">
        <v>0</v>
      </c>
      <c r="AD83">
        <v>3</v>
      </c>
      <c r="AE83">
        <v>1</v>
      </c>
      <c r="AF83">
        <v>0</v>
      </c>
      <c r="AG83">
        <v>0</v>
      </c>
      <c r="AH83">
        <v>0</v>
      </c>
      <c r="AI83">
        <f>AJ83*ledd!$B$2+AK83*ledd!$B$3+AL83*ledd!$B$4+AM83*ledd!$B$5+AN83*ledd!$B$6+AO83*ledd!$B$7+AP83*ledd!$B$8+AQ83*ledd!$B$9+AR83*ledd!$B$10+AS83*ledd!$B$11+AT83*ledd!$B$12+AU83*ledd!$B$13+AV83*ledd!$B$14+AW83*ledd!$B$15+AX83*ledd!$B$16</f>
        <v>1531.5</v>
      </c>
      <c r="AJ83">
        <v>975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8</v>
      </c>
      <c r="AQ83">
        <v>0</v>
      </c>
      <c r="AR83">
        <v>0</v>
      </c>
      <c r="AS83">
        <v>0</v>
      </c>
      <c r="AT83">
        <v>300</v>
      </c>
      <c r="AU83">
        <v>0</v>
      </c>
      <c r="AV83">
        <v>0</v>
      </c>
      <c r="AW83">
        <v>0</v>
      </c>
      <c r="AX83">
        <v>50</v>
      </c>
      <c r="AY83">
        <v>2</v>
      </c>
      <c r="AZ83" s="3">
        <v>1</v>
      </c>
      <c r="BA83" s="3">
        <v>1</v>
      </c>
      <c r="BB83" s="3">
        <v>1</v>
      </c>
      <c r="BC83" s="3">
        <v>2</v>
      </c>
      <c r="BD83" s="3">
        <v>1</v>
      </c>
      <c r="BE83" s="3">
        <v>0</v>
      </c>
      <c r="BF83" s="3">
        <v>3</v>
      </c>
      <c r="BG83" s="3">
        <v>3</v>
      </c>
      <c r="BH83" s="3">
        <v>3</v>
      </c>
      <c r="BI83" s="3">
        <v>4</v>
      </c>
      <c r="BJ83" s="3">
        <v>3</v>
      </c>
      <c r="BK83" s="3">
        <v>3</v>
      </c>
      <c r="BL83" s="3">
        <v>4</v>
      </c>
      <c r="BM83" s="3">
        <v>3</v>
      </c>
      <c r="BN83" s="3">
        <v>3</v>
      </c>
      <c r="BO83" s="3">
        <v>2</v>
      </c>
      <c r="BP83" s="3">
        <v>3</v>
      </c>
      <c r="BQ83" s="3">
        <v>2</v>
      </c>
      <c r="BR83" s="3">
        <v>2</v>
      </c>
      <c r="BS83" s="3">
        <v>3</v>
      </c>
      <c r="BT83" s="3">
        <v>1</v>
      </c>
      <c r="BU83" s="3">
        <v>2</v>
      </c>
      <c r="BV83" s="3">
        <v>1</v>
      </c>
      <c r="BW83" s="3">
        <v>1</v>
      </c>
      <c r="BX83" s="3">
        <v>1</v>
      </c>
      <c r="BY83" s="3">
        <v>0</v>
      </c>
      <c r="BZ83" s="3">
        <v>0</v>
      </c>
      <c r="CA83" s="3">
        <v>0</v>
      </c>
      <c r="CB83" s="3">
        <v>0</v>
      </c>
      <c r="CC83" s="3">
        <v>1</v>
      </c>
      <c r="CD83" s="3">
        <v>2</v>
      </c>
      <c r="CE83" s="3">
        <v>2</v>
      </c>
      <c r="CF83" s="3">
        <v>3</v>
      </c>
      <c r="CG83" s="3">
        <v>4</v>
      </c>
      <c r="CH83" s="3">
        <v>3</v>
      </c>
      <c r="CI83" s="3">
        <v>1</v>
      </c>
      <c r="CJ83" s="3">
        <v>1</v>
      </c>
      <c r="CK83" s="3">
        <v>2</v>
      </c>
      <c r="CL83" s="3">
        <v>1</v>
      </c>
      <c r="CM83" s="3">
        <f t="shared" si="29"/>
        <v>47.5</v>
      </c>
      <c r="CN83" s="3">
        <f t="shared" si="30"/>
        <v>75</v>
      </c>
      <c r="CO83" s="3">
        <f t="shared" si="31"/>
        <v>54.166666666666664</v>
      </c>
      <c r="CP83" s="3">
        <f t="shared" si="32"/>
        <v>18.75</v>
      </c>
      <c r="CQ83" s="3">
        <f t="shared" si="33"/>
        <v>0</v>
      </c>
      <c r="CR83" s="3">
        <f t="shared" si="34"/>
        <v>50</v>
      </c>
      <c r="CS83">
        <f t="shared" si="35"/>
        <v>66.666666666666671</v>
      </c>
      <c r="CT83">
        <f t="shared" si="36"/>
        <v>33.333333333333336</v>
      </c>
      <c r="CU83">
        <f t="shared" si="37"/>
        <v>43.177083333333329</v>
      </c>
      <c r="CV83">
        <v>0</v>
      </c>
      <c r="CW83">
        <v>2</v>
      </c>
      <c r="CX83">
        <v>2</v>
      </c>
      <c r="CY83">
        <v>2</v>
      </c>
      <c r="CZ83">
        <v>0</v>
      </c>
      <c r="DA83">
        <v>0</v>
      </c>
      <c r="DB83">
        <v>0</v>
      </c>
      <c r="DC83">
        <v>2</v>
      </c>
      <c r="DD83">
        <v>1</v>
      </c>
      <c r="DE83">
        <v>2</v>
      </c>
      <c r="DF83">
        <v>1</v>
      </c>
      <c r="DG83">
        <v>2</v>
      </c>
      <c r="DH83">
        <v>0</v>
      </c>
      <c r="DI83">
        <v>0</v>
      </c>
      <c r="DJ83">
        <v>0</v>
      </c>
      <c r="DK83">
        <f t="shared" si="24"/>
        <v>14</v>
      </c>
      <c r="DL83">
        <v>3</v>
      </c>
      <c r="DM83">
        <v>2</v>
      </c>
      <c r="DN83">
        <v>0</v>
      </c>
      <c r="DO83">
        <v>1</v>
      </c>
      <c r="DP83">
        <v>1</v>
      </c>
      <c r="DQ83">
        <v>0</v>
      </c>
      <c r="DR83">
        <v>4</v>
      </c>
      <c r="DS83">
        <v>2</v>
      </c>
      <c r="DT83">
        <v>2</v>
      </c>
      <c r="DU83">
        <v>2</v>
      </c>
      <c r="DV83">
        <v>0</v>
      </c>
      <c r="DW83">
        <v>0</v>
      </c>
      <c r="DX83">
        <v>4</v>
      </c>
      <c r="DY83">
        <f t="shared" si="25"/>
        <v>21</v>
      </c>
      <c r="DZ83">
        <v>2</v>
      </c>
      <c r="EA83">
        <v>2</v>
      </c>
      <c r="EB83">
        <v>0</v>
      </c>
      <c r="EC83">
        <v>0</v>
      </c>
      <c r="ED83">
        <v>1</v>
      </c>
      <c r="EE83">
        <v>0</v>
      </c>
      <c r="EF83">
        <v>0</v>
      </c>
      <c r="EG83">
        <v>0</v>
      </c>
      <c r="EH83">
        <v>1</v>
      </c>
      <c r="EI83">
        <v>0</v>
      </c>
      <c r="EJ83">
        <v>0</v>
      </c>
      <c r="EK83">
        <v>0</v>
      </c>
      <c r="EL83">
        <v>1</v>
      </c>
      <c r="EM83">
        <v>1</v>
      </c>
      <c r="EN83">
        <v>2</v>
      </c>
      <c r="EO83">
        <v>0</v>
      </c>
      <c r="EP83">
        <v>1</v>
      </c>
      <c r="EQ83">
        <v>0</v>
      </c>
      <c r="ER83">
        <v>1</v>
      </c>
      <c r="ES83">
        <v>1</v>
      </c>
      <c r="ET83">
        <v>1</v>
      </c>
      <c r="EU83">
        <v>1</v>
      </c>
      <c r="EV83">
        <v>2</v>
      </c>
      <c r="EW83">
        <v>0</v>
      </c>
      <c r="EX83">
        <v>2</v>
      </c>
      <c r="EY83">
        <v>1</v>
      </c>
      <c r="EZ83">
        <v>2</v>
      </c>
      <c r="FA83">
        <v>0</v>
      </c>
      <c r="FB83">
        <v>1</v>
      </c>
      <c r="FC83">
        <v>0</v>
      </c>
      <c r="FD83">
        <v>0</v>
      </c>
      <c r="FE83">
        <v>0</v>
      </c>
      <c r="FF83">
        <v>2</v>
      </c>
      <c r="FG83">
        <f t="shared" si="26"/>
        <v>25</v>
      </c>
      <c r="FH83">
        <v>1</v>
      </c>
      <c r="FI83">
        <v>2</v>
      </c>
      <c r="FJ83">
        <v>2</v>
      </c>
      <c r="FK83">
        <v>3</v>
      </c>
      <c r="FL83">
        <v>3</v>
      </c>
      <c r="FM83">
        <v>2</v>
      </c>
      <c r="FN83">
        <f t="shared" si="27"/>
        <v>13</v>
      </c>
      <c r="FO83">
        <f t="shared" si="38"/>
        <v>73</v>
      </c>
      <c r="FP83">
        <v>10</v>
      </c>
      <c r="FQ83">
        <v>5</v>
      </c>
      <c r="FR83">
        <v>3</v>
      </c>
      <c r="FS83">
        <v>6</v>
      </c>
      <c r="FT83">
        <v>3</v>
      </c>
      <c r="FU83">
        <v>2</v>
      </c>
      <c r="FV83">
        <v>4</v>
      </c>
      <c r="FW83">
        <v>6</v>
      </c>
      <c r="FX83">
        <f t="shared" si="39"/>
        <v>29</v>
      </c>
      <c r="FY83">
        <v>0</v>
      </c>
      <c r="FZ83">
        <f t="shared" si="28"/>
        <v>2</v>
      </c>
      <c r="GA83">
        <v>0</v>
      </c>
    </row>
    <row r="84" spans="1:183" x14ac:dyDescent="0.2">
      <c r="A84">
        <v>83</v>
      </c>
      <c r="B84">
        <v>1</v>
      </c>
      <c r="C84">
        <v>1</v>
      </c>
      <c r="D84">
        <v>1</v>
      </c>
      <c r="E84" s="2">
        <v>26903</v>
      </c>
      <c r="F84" s="2">
        <v>44756</v>
      </c>
      <c r="G84" s="3">
        <f t="shared" si="22"/>
        <v>48.833333333333336</v>
      </c>
      <c r="H84">
        <v>39</v>
      </c>
      <c r="I84" s="3">
        <f t="shared" si="23"/>
        <v>9.8333333333333357</v>
      </c>
      <c r="J84">
        <v>0</v>
      </c>
      <c r="K84">
        <v>1</v>
      </c>
      <c r="L84">
        <v>0</v>
      </c>
      <c r="M84">
        <v>0</v>
      </c>
      <c r="N84">
        <v>3</v>
      </c>
      <c r="O84">
        <v>1</v>
      </c>
      <c r="P84">
        <v>2</v>
      </c>
      <c r="Q84">
        <v>1</v>
      </c>
      <c r="R84">
        <v>1</v>
      </c>
      <c r="S84">
        <v>1</v>
      </c>
      <c r="T84">
        <v>1</v>
      </c>
      <c r="U84">
        <v>0</v>
      </c>
      <c r="V84">
        <v>1</v>
      </c>
      <c r="W84">
        <v>1</v>
      </c>
      <c r="X84">
        <v>3</v>
      </c>
      <c r="Y84">
        <v>3</v>
      </c>
      <c r="Z84">
        <v>0</v>
      </c>
      <c r="AA84">
        <v>3</v>
      </c>
      <c r="AB84">
        <v>0</v>
      </c>
      <c r="AC84">
        <v>0</v>
      </c>
      <c r="AD84">
        <v>6</v>
      </c>
      <c r="AE84">
        <v>1</v>
      </c>
      <c r="AF84">
        <v>2</v>
      </c>
      <c r="AG84">
        <v>2</v>
      </c>
      <c r="AH84">
        <v>1</v>
      </c>
      <c r="AI84">
        <f>AJ84*ledd!$B$2+AK84*ledd!$B$3+AL84*ledd!$B$4+AM84*ledd!$B$5+AN84*ledd!$B$6+AO84*ledd!$B$7+AP84*ledd!$B$8+AQ84*ledd!$B$9+AR84*ledd!$B$10+AS84*ledd!$B$11+AT84*ledd!$B$12+AU84*ledd!$B$13+AV84*ledd!$B$14+AW84*ledd!$B$15+AX84*ledd!$B$16</f>
        <v>600</v>
      </c>
      <c r="AJ84">
        <v>600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3</v>
      </c>
      <c r="AZ84" s="3">
        <v>2</v>
      </c>
      <c r="BA84" s="3">
        <v>3</v>
      </c>
      <c r="BB84" s="3">
        <v>3</v>
      </c>
      <c r="BC84" s="3">
        <v>3</v>
      </c>
      <c r="BD84" s="3">
        <v>3</v>
      </c>
      <c r="BE84" s="3">
        <v>2</v>
      </c>
      <c r="BF84" s="3">
        <v>2</v>
      </c>
      <c r="BG84" s="3">
        <v>3</v>
      </c>
      <c r="BH84" s="3">
        <v>0</v>
      </c>
      <c r="BI84" s="3">
        <v>0</v>
      </c>
      <c r="BJ84" s="3">
        <v>2</v>
      </c>
      <c r="BK84" s="3">
        <v>2</v>
      </c>
      <c r="BL84" s="3">
        <v>3</v>
      </c>
      <c r="BM84" s="3">
        <v>4</v>
      </c>
      <c r="BN84" s="3">
        <v>3</v>
      </c>
      <c r="BO84" s="3">
        <v>1</v>
      </c>
      <c r="BP84" s="3">
        <v>3</v>
      </c>
      <c r="BQ84" s="3">
        <v>1</v>
      </c>
      <c r="BR84" s="3">
        <v>2</v>
      </c>
      <c r="BS84" s="3">
        <v>2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1</v>
      </c>
      <c r="BZ84" s="3">
        <v>2</v>
      </c>
      <c r="CA84" s="3">
        <v>0</v>
      </c>
      <c r="CB84" s="3">
        <v>0</v>
      </c>
      <c r="CC84" s="3">
        <v>2</v>
      </c>
      <c r="CD84" s="3">
        <v>2</v>
      </c>
      <c r="CE84" s="3">
        <v>2</v>
      </c>
      <c r="CF84" s="3">
        <v>0</v>
      </c>
      <c r="CG84" s="3">
        <v>4</v>
      </c>
      <c r="CH84" s="3">
        <v>3</v>
      </c>
      <c r="CI84" s="3">
        <v>2</v>
      </c>
      <c r="CJ84" s="3">
        <v>3</v>
      </c>
      <c r="CK84" s="3">
        <v>3</v>
      </c>
      <c r="CL84" s="3">
        <v>2</v>
      </c>
      <c r="CM84" s="3">
        <f t="shared" si="29"/>
        <v>52.5</v>
      </c>
      <c r="CN84" s="3">
        <f t="shared" si="30"/>
        <v>62.5</v>
      </c>
      <c r="CO84" s="3">
        <f t="shared" si="31"/>
        <v>33.333333333333336</v>
      </c>
      <c r="CP84" s="3">
        <f t="shared" si="32"/>
        <v>6.25</v>
      </c>
      <c r="CQ84" s="3">
        <f t="shared" si="33"/>
        <v>16.666666666666668</v>
      </c>
      <c r="CR84" s="3">
        <f t="shared" si="34"/>
        <v>37.5</v>
      </c>
      <c r="CS84">
        <f t="shared" si="35"/>
        <v>75</v>
      </c>
      <c r="CT84">
        <f t="shared" si="36"/>
        <v>66.666666666666671</v>
      </c>
      <c r="CU84">
        <f t="shared" si="37"/>
        <v>43.802083333333336</v>
      </c>
      <c r="CV84">
        <v>0</v>
      </c>
      <c r="CW84">
        <v>0</v>
      </c>
      <c r="CX84">
        <v>0</v>
      </c>
      <c r="CY84">
        <v>0</v>
      </c>
      <c r="CZ84">
        <v>2</v>
      </c>
      <c r="DA84">
        <v>0</v>
      </c>
      <c r="DB84">
        <v>0</v>
      </c>
      <c r="DC84">
        <v>3</v>
      </c>
      <c r="DD84">
        <v>2</v>
      </c>
      <c r="DE84">
        <v>4</v>
      </c>
      <c r="DF84">
        <v>1</v>
      </c>
      <c r="DG84">
        <v>0</v>
      </c>
      <c r="DH84">
        <v>0</v>
      </c>
      <c r="DI84">
        <v>1</v>
      </c>
      <c r="DJ84">
        <v>0</v>
      </c>
      <c r="DK84">
        <f t="shared" si="24"/>
        <v>13</v>
      </c>
      <c r="DL84">
        <v>3</v>
      </c>
      <c r="DM84">
        <v>2</v>
      </c>
      <c r="DN84">
        <v>2</v>
      </c>
      <c r="DO84">
        <v>0</v>
      </c>
      <c r="DP84">
        <v>3</v>
      </c>
      <c r="DQ84">
        <v>3</v>
      </c>
      <c r="DR84">
        <v>3</v>
      </c>
      <c r="DS84">
        <v>4</v>
      </c>
      <c r="DT84">
        <v>4</v>
      </c>
      <c r="DU84">
        <v>0</v>
      </c>
      <c r="DV84">
        <v>2</v>
      </c>
      <c r="DW84">
        <v>0</v>
      </c>
      <c r="DX84">
        <v>4</v>
      </c>
      <c r="DY84">
        <f t="shared" si="25"/>
        <v>30</v>
      </c>
      <c r="DZ84">
        <v>3</v>
      </c>
      <c r="EA84">
        <v>3</v>
      </c>
      <c r="EB84">
        <v>2</v>
      </c>
      <c r="EC84">
        <v>3</v>
      </c>
      <c r="ED84">
        <v>2</v>
      </c>
      <c r="EE84">
        <v>3</v>
      </c>
      <c r="EF84">
        <v>2</v>
      </c>
      <c r="EG84">
        <v>4</v>
      </c>
      <c r="EH84">
        <v>3</v>
      </c>
      <c r="EI84">
        <v>4</v>
      </c>
      <c r="EJ84">
        <v>4</v>
      </c>
      <c r="EK84">
        <v>4</v>
      </c>
      <c r="EL84">
        <v>4</v>
      </c>
      <c r="EM84">
        <v>4</v>
      </c>
      <c r="EN84">
        <v>4</v>
      </c>
      <c r="EO84">
        <v>4</v>
      </c>
      <c r="EP84">
        <v>4</v>
      </c>
      <c r="EQ84">
        <v>2</v>
      </c>
      <c r="ER84">
        <v>3</v>
      </c>
      <c r="ES84">
        <v>2</v>
      </c>
      <c r="ET84">
        <v>4</v>
      </c>
      <c r="EU84">
        <v>2</v>
      </c>
      <c r="EV84">
        <v>3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f t="shared" si="26"/>
        <v>73</v>
      </c>
      <c r="FH84">
        <v>0</v>
      </c>
      <c r="FI84">
        <v>0</v>
      </c>
      <c r="FJ84">
        <v>1</v>
      </c>
      <c r="FK84">
        <v>4</v>
      </c>
      <c r="FL84">
        <v>4</v>
      </c>
      <c r="FM84">
        <v>4</v>
      </c>
      <c r="FN84">
        <f t="shared" si="27"/>
        <v>13</v>
      </c>
      <c r="FO84">
        <f t="shared" si="38"/>
        <v>129</v>
      </c>
      <c r="FP84">
        <v>9</v>
      </c>
      <c r="FQ84">
        <v>4</v>
      </c>
      <c r="FR84">
        <v>3</v>
      </c>
      <c r="FS84">
        <v>6</v>
      </c>
      <c r="FT84">
        <v>3</v>
      </c>
      <c r="FU84">
        <v>2</v>
      </c>
      <c r="FV84">
        <v>5</v>
      </c>
      <c r="FW84">
        <v>6</v>
      </c>
      <c r="FX84">
        <f t="shared" si="39"/>
        <v>29</v>
      </c>
      <c r="FY84">
        <v>0</v>
      </c>
      <c r="FZ84">
        <f t="shared" si="28"/>
        <v>0</v>
      </c>
      <c r="GA84">
        <v>1</v>
      </c>
    </row>
    <row r="85" spans="1:183" x14ac:dyDescent="0.2">
      <c r="A85">
        <v>84</v>
      </c>
      <c r="B85">
        <v>1</v>
      </c>
      <c r="C85">
        <v>1</v>
      </c>
      <c r="D85">
        <v>1</v>
      </c>
      <c r="E85" s="2">
        <v>24937</v>
      </c>
      <c r="F85" s="2">
        <v>44760</v>
      </c>
      <c r="G85" s="3">
        <f t="shared" si="22"/>
        <v>54.25</v>
      </c>
      <c r="H85">
        <v>42</v>
      </c>
      <c r="I85" s="3">
        <f t="shared" si="23"/>
        <v>12.25</v>
      </c>
      <c r="J85">
        <v>0</v>
      </c>
      <c r="K85">
        <v>1</v>
      </c>
      <c r="L85">
        <v>1</v>
      </c>
      <c r="M85">
        <v>0</v>
      </c>
      <c r="N85">
        <v>2</v>
      </c>
      <c r="O85">
        <v>1</v>
      </c>
      <c r="P85">
        <v>2</v>
      </c>
      <c r="Q85">
        <v>1</v>
      </c>
      <c r="R85">
        <v>1</v>
      </c>
      <c r="S85">
        <v>1</v>
      </c>
      <c r="T85">
        <v>1</v>
      </c>
      <c r="U85">
        <v>0</v>
      </c>
      <c r="V85">
        <v>1</v>
      </c>
      <c r="W85">
        <v>0</v>
      </c>
      <c r="X85">
        <v>0</v>
      </c>
      <c r="Y85">
        <v>0</v>
      </c>
      <c r="AA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f>AJ85*ledd!$B$2+AK85*ledd!$B$3+AL85*ledd!$B$4+AM85*ledd!$B$5+AN85*ledd!$B$6+AO85*ledd!$B$7+AP85*ledd!$B$8+AQ85*ledd!$B$9+AR85*ledd!$B$10+AS85*ledd!$B$11+AT85*ledd!$B$12+AU85*ledd!$B$13+AV85*ledd!$B$14+AW85*ledd!$B$15+AX85*ledd!$B$16</f>
        <v>616.5</v>
      </c>
      <c r="AJ85">
        <v>600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50</v>
      </c>
      <c r="AY85">
        <v>3</v>
      </c>
      <c r="AZ85" s="3">
        <v>3</v>
      </c>
      <c r="BA85" s="3">
        <v>3</v>
      </c>
      <c r="BB85" s="3">
        <v>2</v>
      </c>
      <c r="BC85" s="3">
        <v>4</v>
      </c>
      <c r="BD85" s="3">
        <v>3</v>
      </c>
      <c r="BE85" s="3">
        <v>1</v>
      </c>
      <c r="BF85" s="3">
        <v>1</v>
      </c>
      <c r="BG85" s="3">
        <v>2</v>
      </c>
      <c r="BH85" s="3">
        <v>1</v>
      </c>
      <c r="BI85" s="3">
        <v>1</v>
      </c>
      <c r="BJ85" s="3">
        <v>1</v>
      </c>
      <c r="BK85" s="3">
        <v>1</v>
      </c>
      <c r="BL85" s="3">
        <v>1</v>
      </c>
      <c r="BM85" s="3">
        <v>1</v>
      </c>
      <c r="BN85" s="3">
        <v>0</v>
      </c>
      <c r="BO85" s="3">
        <v>0</v>
      </c>
      <c r="BP85" s="3">
        <v>3</v>
      </c>
      <c r="BQ85" s="3">
        <v>0</v>
      </c>
      <c r="BR85" s="3">
        <v>1</v>
      </c>
      <c r="BS85" s="3">
        <v>1</v>
      </c>
      <c r="BT85" s="3">
        <v>1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2</v>
      </c>
      <c r="CD85" s="3">
        <v>1</v>
      </c>
      <c r="CE85" s="3">
        <v>4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2</v>
      </c>
      <c r="CL85" s="3">
        <v>2</v>
      </c>
      <c r="CM85" s="3">
        <f t="shared" si="29"/>
        <v>52.5</v>
      </c>
      <c r="CN85" s="3">
        <f t="shared" si="30"/>
        <v>16.666666666666668</v>
      </c>
      <c r="CO85" s="3">
        <f t="shared" si="31"/>
        <v>25</v>
      </c>
      <c r="CP85" s="3">
        <f t="shared" si="32"/>
        <v>0</v>
      </c>
      <c r="CQ85" s="3">
        <f t="shared" si="33"/>
        <v>0</v>
      </c>
      <c r="CR85" s="3">
        <f t="shared" si="34"/>
        <v>43.75</v>
      </c>
      <c r="CS85">
        <f t="shared" si="35"/>
        <v>0</v>
      </c>
      <c r="CT85">
        <f t="shared" si="36"/>
        <v>33.333333333333336</v>
      </c>
      <c r="CU85">
        <f t="shared" si="37"/>
        <v>21.406250000000004</v>
      </c>
      <c r="CV85">
        <v>3</v>
      </c>
      <c r="CW85">
        <v>0</v>
      </c>
      <c r="CX85">
        <v>3</v>
      </c>
      <c r="CY85">
        <v>2</v>
      </c>
      <c r="CZ85">
        <v>4</v>
      </c>
      <c r="DA85">
        <v>0</v>
      </c>
      <c r="DB85">
        <v>0</v>
      </c>
      <c r="DC85">
        <v>0</v>
      </c>
      <c r="DD85">
        <v>1</v>
      </c>
      <c r="DE85">
        <v>3</v>
      </c>
      <c r="DF85">
        <v>3</v>
      </c>
      <c r="DG85">
        <v>4</v>
      </c>
      <c r="DH85">
        <v>0</v>
      </c>
      <c r="DI85">
        <v>4</v>
      </c>
      <c r="DJ85">
        <v>0</v>
      </c>
      <c r="DK85">
        <f t="shared" si="24"/>
        <v>27</v>
      </c>
      <c r="DL85">
        <v>1</v>
      </c>
      <c r="DM85">
        <v>2</v>
      </c>
      <c r="DN85">
        <v>0</v>
      </c>
      <c r="DO85">
        <v>0</v>
      </c>
      <c r="DP85">
        <v>1</v>
      </c>
      <c r="DQ85">
        <v>0</v>
      </c>
      <c r="DR85">
        <v>3</v>
      </c>
      <c r="DS85">
        <v>4</v>
      </c>
      <c r="DT85">
        <v>0</v>
      </c>
      <c r="DU85">
        <v>0</v>
      </c>
      <c r="DV85">
        <v>0</v>
      </c>
      <c r="DW85">
        <v>3</v>
      </c>
      <c r="DX85">
        <v>0</v>
      </c>
      <c r="DY85">
        <f t="shared" si="25"/>
        <v>14</v>
      </c>
      <c r="DZ85">
        <v>2</v>
      </c>
      <c r="EA85">
        <v>1</v>
      </c>
      <c r="EB85">
        <v>0</v>
      </c>
      <c r="EC85">
        <v>1</v>
      </c>
      <c r="ED85">
        <v>0</v>
      </c>
      <c r="EE85">
        <v>1</v>
      </c>
      <c r="EF85">
        <v>0</v>
      </c>
      <c r="EG85">
        <v>1</v>
      </c>
      <c r="EH85">
        <v>0</v>
      </c>
      <c r="EI85">
        <v>1</v>
      </c>
      <c r="EJ85">
        <v>0</v>
      </c>
      <c r="EK85">
        <v>3</v>
      </c>
      <c r="EL85">
        <v>2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2</v>
      </c>
      <c r="ES85">
        <v>0</v>
      </c>
      <c r="ET85">
        <v>3</v>
      </c>
      <c r="EU85">
        <v>1</v>
      </c>
      <c r="EV85">
        <v>1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f t="shared" si="26"/>
        <v>19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f t="shared" si="27"/>
        <v>0</v>
      </c>
      <c r="FO85">
        <f t="shared" si="38"/>
        <v>60</v>
      </c>
      <c r="FP85">
        <v>15</v>
      </c>
      <c r="FQ85">
        <v>5</v>
      </c>
      <c r="FR85">
        <v>3</v>
      </c>
      <c r="FS85">
        <v>6</v>
      </c>
      <c r="FT85">
        <v>3</v>
      </c>
      <c r="FU85">
        <v>2</v>
      </c>
      <c r="FV85">
        <v>2</v>
      </c>
      <c r="FW85">
        <v>6</v>
      </c>
      <c r="FX85">
        <f t="shared" si="39"/>
        <v>27</v>
      </c>
      <c r="FY85">
        <v>0</v>
      </c>
      <c r="FZ85">
        <f t="shared" si="28"/>
        <v>1</v>
      </c>
      <c r="GA85">
        <v>1</v>
      </c>
    </row>
    <row r="86" spans="1:183" x14ac:dyDescent="0.2">
      <c r="A86">
        <v>85</v>
      </c>
      <c r="B86">
        <v>1</v>
      </c>
      <c r="C86">
        <v>1</v>
      </c>
      <c r="D86">
        <v>1</v>
      </c>
      <c r="E86" s="2">
        <v>22265</v>
      </c>
      <c r="F86" s="2">
        <v>44764</v>
      </c>
      <c r="G86" s="3">
        <f t="shared" si="22"/>
        <v>61.583333333333336</v>
      </c>
      <c r="H86">
        <v>48</v>
      </c>
      <c r="I86" s="3">
        <f t="shared" si="23"/>
        <v>13.583333333333336</v>
      </c>
      <c r="J86">
        <v>0</v>
      </c>
      <c r="K86">
        <v>0</v>
      </c>
      <c r="L86">
        <v>0</v>
      </c>
      <c r="M86">
        <v>0</v>
      </c>
      <c r="N86">
        <v>2</v>
      </c>
      <c r="O86">
        <v>0</v>
      </c>
      <c r="P86">
        <v>3</v>
      </c>
      <c r="Q86">
        <v>4</v>
      </c>
      <c r="R86">
        <v>1</v>
      </c>
      <c r="S86">
        <v>1</v>
      </c>
      <c r="T86">
        <v>1</v>
      </c>
      <c r="U86">
        <v>0</v>
      </c>
      <c r="V86">
        <v>1</v>
      </c>
      <c r="W86">
        <v>1</v>
      </c>
      <c r="X86">
        <v>2</v>
      </c>
      <c r="Y86">
        <v>2</v>
      </c>
      <c r="Z86">
        <v>0</v>
      </c>
      <c r="AA86">
        <v>2</v>
      </c>
      <c r="AB86">
        <v>0</v>
      </c>
      <c r="AC86">
        <v>0</v>
      </c>
      <c r="AD86">
        <v>0</v>
      </c>
      <c r="AE86">
        <v>1</v>
      </c>
      <c r="AF86">
        <v>1</v>
      </c>
      <c r="AG86">
        <v>2</v>
      </c>
      <c r="AH86">
        <v>2</v>
      </c>
      <c r="AI86">
        <v>275</v>
      </c>
      <c r="AJ86">
        <v>275</v>
      </c>
      <c r="AK86">
        <v>100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150</v>
      </c>
      <c r="AW86">
        <v>0</v>
      </c>
      <c r="AX86">
        <v>50</v>
      </c>
      <c r="AY86">
        <v>2</v>
      </c>
      <c r="AZ86" s="3">
        <v>2</v>
      </c>
      <c r="BA86" s="3">
        <v>0</v>
      </c>
      <c r="BB86" s="3">
        <v>1</v>
      </c>
      <c r="BC86" s="3">
        <v>2</v>
      </c>
      <c r="BD86" s="3">
        <v>1</v>
      </c>
      <c r="BE86" s="3">
        <v>0</v>
      </c>
      <c r="BF86" s="3">
        <v>0</v>
      </c>
      <c r="BG86" s="3">
        <v>0</v>
      </c>
      <c r="BH86" s="3">
        <v>0</v>
      </c>
      <c r="BI86" s="3">
        <v>1</v>
      </c>
      <c r="BJ86" s="3">
        <v>0</v>
      </c>
      <c r="BK86" s="3">
        <v>0</v>
      </c>
      <c r="BL86" s="3">
        <v>0</v>
      </c>
      <c r="BM86" s="3">
        <v>3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1</v>
      </c>
      <c r="BU86" s="3">
        <v>1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3</v>
      </c>
      <c r="CD86" s="3">
        <v>0</v>
      </c>
      <c r="CE86" s="3">
        <v>0</v>
      </c>
      <c r="CF86" s="3">
        <v>3</v>
      </c>
      <c r="CG86" s="3">
        <v>0</v>
      </c>
      <c r="CH86" s="3">
        <v>0</v>
      </c>
      <c r="CI86" s="3">
        <v>0</v>
      </c>
      <c r="CJ86" s="3">
        <v>3</v>
      </c>
      <c r="CK86" s="3">
        <v>3</v>
      </c>
      <c r="CL86" s="3">
        <v>0</v>
      </c>
      <c r="CM86" s="3">
        <f t="shared" si="29"/>
        <v>17.5</v>
      </c>
      <c r="CN86" s="3">
        <f t="shared" si="30"/>
        <v>12.5</v>
      </c>
      <c r="CO86" s="3">
        <f t="shared" si="31"/>
        <v>8.3333333333333339</v>
      </c>
      <c r="CP86" s="3">
        <f t="shared" si="32"/>
        <v>0</v>
      </c>
      <c r="CQ86" s="3">
        <f t="shared" si="33"/>
        <v>0</v>
      </c>
      <c r="CR86" s="3">
        <f t="shared" si="34"/>
        <v>37.5</v>
      </c>
      <c r="CS86">
        <f t="shared" si="35"/>
        <v>0</v>
      </c>
      <c r="CT86">
        <f t="shared" si="36"/>
        <v>50</v>
      </c>
      <c r="CU86">
        <f t="shared" si="37"/>
        <v>15.729166666666668</v>
      </c>
      <c r="CV86">
        <v>0</v>
      </c>
      <c r="CW86">
        <v>0</v>
      </c>
      <c r="CX86">
        <v>0</v>
      </c>
      <c r="CY86">
        <v>1</v>
      </c>
      <c r="CZ86">
        <v>0</v>
      </c>
      <c r="DA86">
        <v>4</v>
      </c>
      <c r="DB86">
        <v>0</v>
      </c>
      <c r="DC86">
        <v>4</v>
      </c>
      <c r="DD86">
        <v>4</v>
      </c>
      <c r="DE86">
        <v>4</v>
      </c>
      <c r="DF86">
        <v>0</v>
      </c>
      <c r="DG86">
        <v>3</v>
      </c>
      <c r="DH86">
        <v>0</v>
      </c>
      <c r="DI86">
        <v>0</v>
      </c>
      <c r="DJ86">
        <v>0</v>
      </c>
      <c r="DK86">
        <f t="shared" si="24"/>
        <v>20</v>
      </c>
      <c r="DL86">
        <v>0</v>
      </c>
      <c r="DM86">
        <v>0</v>
      </c>
      <c r="DN86">
        <v>3</v>
      </c>
      <c r="DO86">
        <v>0</v>
      </c>
      <c r="DP86">
        <v>0</v>
      </c>
      <c r="DQ86">
        <v>0</v>
      </c>
      <c r="DR86">
        <v>3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4</v>
      </c>
      <c r="DY86">
        <f t="shared" si="25"/>
        <v>10</v>
      </c>
      <c r="DZ86">
        <v>0</v>
      </c>
      <c r="EA86">
        <v>1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2</v>
      </c>
      <c r="EI86">
        <v>0</v>
      </c>
      <c r="EJ86">
        <v>2</v>
      </c>
      <c r="EK86">
        <v>0</v>
      </c>
      <c r="EL86">
        <v>3</v>
      </c>
      <c r="EM86">
        <v>0</v>
      </c>
      <c r="EN86">
        <v>1</v>
      </c>
      <c r="EO86">
        <v>0</v>
      </c>
      <c r="EP86">
        <v>0</v>
      </c>
      <c r="EQ86">
        <v>0</v>
      </c>
      <c r="ER86">
        <v>1</v>
      </c>
      <c r="ES86">
        <v>4</v>
      </c>
      <c r="ET86">
        <v>1</v>
      </c>
      <c r="EU86">
        <v>1</v>
      </c>
      <c r="EV86">
        <v>1</v>
      </c>
      <c r="EW86">
        <v>0</v>
      </c>
      <c r="EX86">
        <v>1</v>
      </c>
      <c r="EY86">
        <v>0</v>
      </c>
      <c r="EZ86">
        <v>1</v>
      </c>
      <c r="FA86">
        <v>0</v>
      </c>
      <c r="FB86">
        <v>1</v>
      </c>
      <c r="FC86">
        <v>0</v>
      </c>
      <c r="FD86">
        <v>0</v>
      </c>
      <c r="FE86">
        <v>0</v>
      </c>
      <c r="FF86">
        <v>0</v>
      </c>
      <c r="FG86">
        <f t="shared" si="26"/>
        <v>20</v>
      </c>
      <c r="FH86">
        <v>1</v>
      </c>
      <c r="FI86">
        <v>4</v>
      </c>
      <c r="FJ86">
        <v>1</v>
      </c>
      <c r="FK86">
        <v>2</v>
      </c>
      <c r="FL86">
        <v>0</v>
      </c>
      <c r="FM86">
        <v>2</v>
      </c>
      <c r="FN86">
        <f t="shared" si="27"/>
        <v>10</v>
      </c>
      <c r="FO86">
        <f t="shared" si="38"/>
        <v>60</v>
      </c>
      <c r="FP86">
        <v>2</v>
      </c>
      <c r="FQ86">
        <v>5</v>
      </c>
      <c r="FR86">
        <v>3</v>
      </c>
      <c r="FS86">
        <v>6</v>
      </c>
      <c r="FT86">
        <v>3</v>
      </c>
      <c r="FU86">
        <v>2</v>
      </c>
      <c r="FV86">
        <v>5</v>
      </c>
      <c r="FW86">
        <v>6</v>
      </c>
      <c r="FX86">
        <f t="shared" si="39"/>
        <v>30</v>
      </c>
      <c r="FY86">
        <v>0</v>
      </c>
      <c r="FZ86">
        <f t="shared" si="28"/>
        <v>2</v>
      </c>
      <c r="GA86">
        <v>1</v>
      </c>
    </row>
    <row r="87" spans="1:183" x14ac:dyDescent="0.2">
      <c r="A87">
        <v>86</v>
      </c>
      <c r="B87">
        <v>1</v>
      </c>
      <c r="C87">
        <v>1</v>
      </c>
      <c r="D87">
        <v>1</v>
      </c>
      <c r="E87" s="2">
        <v>23653</v>
      </c>
      <c r="F87" s="2">
        <v>44764</v>
      </c>
      <c r="G87" s="3">
        <f t="shared" si="22"/>
        <v>57.75</v>
      </c>
      <c r="H87">
        <v>36</v>
      </c>
      <c r="I87" s="3">
        <f t="shared" si="23"/>
        <v>21.75</v>
      </c>
      <c r="J87">
        <v>0</v>
      </c>
      <c r="K87">
        <v>0</v>
      </c>
      <c r="L87">
        <v>1</v>
      </c>
      <c r="M87">
        <v>0</v>
      </c>
      <c r="N87">
        <v>2</v>
      </c>
      <c r="O87">
        <v>1</v>
      </c>
      <c r="P87">
        <v>2</v>
      </c>
      <c r="Q87">
        <v>1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2</v>
      </c>
      <c r="Y87">
        <v>0</v>
      </c>
      <c r="AA87">
        <v>0</v>
      </c>
      <c r="AC87">
        <v>1</v>
      </c>
      <c r="AD87">
        <v>6</v>
      </c>
      <c r="AE87">
        <v>1</v>
      </c>
      <c r="AF87">
        <v>2</v>
      </c>
      <c r="AG87">
        <v>2</v>
      </c>
      <c r="AH87">
        <v>2</v>
      </c>
      <c r="AI87">
        <f>AJ87*ledd!$B$2+AK87*ledd!$B$3+AL87*ledd!$B$4+AM87*ledd!$B$5+AN87*ledd!$B$6+AO87*ledd!$B$7+AP87*ledd!$B$8+AQ87*ledd!$B$9+AR87*ledd!$B$10+AS87*ledd!$B$11+AT87*ledd!$B$12+AU87*ledd!$B$13+AV87*ledd!$B$14+AW87*ledd!$B$15+AX87*ledd!$B$16</f>
        <v>1000</v>
      </c>
      <c r="AJ87">
        <v>500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200</v>
      </c>
      <c r="AU87">
        <v>0</v>
      </c>
      <c r="AV87">
        <v>200</v>
      </c>
      <c r="AW87">
        <v>100</v>
      </c>
      <c r="AX87">
        <v>0</v>
      </c>
      <c r="AY87">
        <v>2</v>
      </c>
      <c r="AZ87" s="3">
        <v>2</v>
      </c>
      <c r="BA87" s="3">
        <v>2</v>
      </c>
      <c r="BB87" s="3">
        <v>2</v>
      </c>
      <c r="BC87" s="3">
        <v>2</v>
      </c>
      <c r="BD87" s="3">
        <v>1</v>
      </c>
      <c r="BE87" s="3">
        <v>1</v>
      </c>
      <c r="BF87" s="3">
        <v>1</v>
      </c>
      <c r="BG87" s="3">
        <v>0</v>
      </c>
      <c r="BH87" s="3">
        <v>0</v>
      </c>
      <c r="BI87" s="3">
        <v>1</v>
      </c>
      <c r="BJ87" s="3">
        <v>1</v>
      </c>
      <c r="BK87" s="3">
        <v>1</v>
      </c>
      <c r="BL87" s="3">
        <v>1</v>
      </c>
      <c r="BM87" s="3">
        <v>3</v>
      </c>
      <c r="BN87" s="3">
        <v>1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3</v>
      </c>
      <c r="CD87" s="3">
        <v>0</v>
      </c>
      <c r="CE87" s="3">
        <v>0</v>
      </c>
      <c r="CF87" s="3">
        <v>2</v>
      </c>
      <c r="CG87" s="3">
        <v>0</v>
      </c>
      <c r="CH87" s="3">
        <v>0</v>
      </c>
      <c r="CI87" s="3">
        <v>0</v>
      </c>
      <c r="CJ87" s="3">
        <v>3</v>
      </c>
      <c r="CK87" s="3">
        <v>3</v>
      </c>
      <c r="CL87" s="3">
        <v>0</v>
      </c>
      <c r="CM87" s="3">
        <f t="shared" si="29"/>
        <v>30</v>
      </c>
      <c r="CN87" s="3">
        <f t="shared" si="30"/>
        <v>29.166666666666668</v>
      </c>
      <c r="CO87" s="3">
        <f t="shared" si="31"/>
        <v>0</v>
      </c>
      <c r="CP87" s="3">
        <f t="shared" si="32"/>
        <v>0</v>
      </c>
      <c r="CQ87" s="3">
        <f t="shared" si="33"/>
        <v>0</v>
      </c>
      <c r="CR87" s="3">
        <f t="shared" si="34"/>
        <v>31.25</v>
      </c>
      <c r="CS87">
        <f t="shared" si="35"/>
        <v>0</v>
      </c>
      <c r="CT87">
        <f t="shared" si="36"/>
        <v>50</v>
      </c>
      <c r="CU87">
        <f t="shared" si="37"/>
        <v>17.552083333333336</v>
      </c>
      <c r="CV87">
        <v>4</v>
      </c>
      <c r="CW87">
        <v>2</v>
      </c>
      <c r="CX87">
        <v>0</v>
      </c>
      <c r="CY87">
        <v>0</v>
      </c>
      <c r="CZ87">
        <v>4</v>
      </c>
      <c r="DA87">
        <v>0</v>
      </c>
      <c r="DB87">
        <v>0</v>
      </c>
      <c r="DC87">
        <v>2</v>
      </c>
      <c r="DD87">
        <v>0</v>
      </c>
      <c r="DE87">
        <v>4</v>
      </c>
      <c r="DF87">
        <v>4</v>
      </c>
      <c r="DG87">
        <v>2</v>
      </c>
      <c r="DH87">
        <v>0</v>
      </c>
      <c r="DI87">
        <v>4</v>
      </c>
      <c r="DJ87">
        <v>0</v>
      </c>
      <c r="DK87">
        <f t="shared" si="24"/>
        <v>26</v>
      </c>
      <c r="DL87">
        <v>1</v>
      </c>
      <c r="DM87">
        <v>4</v>
      </c>
      <c r="DN87">
        <v>0</v>
      </c>
      <c r="DO87">
        <v>0</v>
      </c>
      <c r="DP87">
        <v>0</v>
      </c>
      <c r="DQ87">
        <v>0</v>
      </c>
      <c r="DR87">
        <v>4</v>
      </c>
      <c r="DS87">
        <v>2</v>
      </c>
      <c r="DT87">
        <v>2</v>
      </c>
      <c r="DU87">
        <v>3</v>
      </c>
      <c r="DV87">
        <v>2</v>
      </c>
      <c r="DW87">
        <v>2</v>
      </c>
      <c r="DX87">
        <v>2</v>
      </c>
      <c r="DY87">
        <f t="shared" si="25"/>
        <v>22</v>
      </c>
      <c r="DZ87">
        <v>1</v>
      </c>
      <c r="EA87">
        <v>2</v>
      </c>
      <c r="EB87">
        <v>0</v>
      </c>
      <c r="EC87">
        <v>0</v>
      </c>
      <c r="ED87">
        <v>1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1</v>
      </c>
      <c r="EM87">
        <v>0</v>
      </c>
      <c r="EN87">
        <v>0</v>
      </c>
      <c r="EO87">
        <v>0</v>
      </c>
      <c r="EP87">
        <v>0</v>
      </c>
      <c r="EQ87">
        <v>1</v>
      </c>
      <c r="ER87">
        <v>2</v>
      </c>
      <c r="ES87">
        <v>1</v>
      </c>
      <c r="ET87">
        <v>2</v>
      </c>
      <c r="EU87">
        <v>2</v>
      </c>
      <c r="EV87">
        <v>1</v>
      </c>
      <c r="EW87">
        <v>0</v>
      </c>
      <c r="EX87">
        <v>1</v>
      </c>
      <c r="EY87">
        <v>0</v>
      </c>
      <c r="EZ87">
        <v>0</v>
      </c>
      <c r="FA87">
        <v>0</v>
      </c>
      <c r="FB87">
        <v>0</v>
      </c>
      <c r="FC87">
        <v>2</v>
      </c>
      <c r="FD87">
        <v>0</v>
      </c>
      <c r="FE87">
        <v>0</v>
      </c>
      <c r="FF87">
        <v>4</v>
      </c>
      <c r="FG87">
        <f t="shared" si="26"/>
        <v>21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f t="shared" si="27"/>
        <v>0</v>
      </c>
      <c r="FO87">
        <f t="shared" si="38"/>
        <v>69</v>
      </c>
      <c r="FP87">
        <v>3</v>
      </c>
      <c r="FQ87">
        <v>5</v>
      </c>
      <c r="FR87">
        <v>3</v>
      </c>
      <c r="FS87">
        <v>6</v>
      </c>
      <c r="FT87">
        <v>3</v>
      </c>
      <c r="FU87">
        <v>2</v>
      </c>
      <c r="FV87">
        <v>2</v>
      </c>
      <c r="FW87">
        <v>6</v>
      </c>
      <c r="FX87">
        <f t="shared" si="39"/>
        <v>27</v>
      </c>
      <c r="FY87">
        <v>0</v>
      </c>
      <c r="FZ87">
        <f t="shared" si="28"/>
        <v>1</v>
      </c>
      <c r="GA87">
        <v>0</v>
      </c>
    </row>
    <row r="88" spans="1:183" x14ac:dyDescent="0.2">
      <c r="A88">
        <v>87</v>
      </c>
      <c r="B88">
        <v>1</v>
      </c>
      <c r="C88">
        <v>1</v>
      </c>
      <c r="D88">
        <v>1</v>
      </c>
      <c r="E88" s="2">
        <v>14868</v>
      </c>
      <c r="F88" s="2">
        <v>44771</v>
      </c>
      <c r="G88" s="3">
        <f t="shared" si="22"/>
        <v>81.833333333333329</v>
      </c>
      <c r="H88">
        <v>76</v>
      </c>
      <c r="I88" s="3">
        <f t="shared" si="23"/>
        <v>5.8333333333333286</v>
      </c>
      <c r="J88">
        <v>0</v>
      </c>
      <c r="K88">
        <v>1</v>
      </c>
      <c r="L88">
        <v>5</v>
      </c>
      <c r="M88">
        <v>0</v>
      </c>
      <c r="N88">
        <v>2</v>
      </c>
      <c r="O88">
        <v>1</v>
      </c>
      <c r="P88">
        <v>3</v>
      </c>
      <c r="Q88">
        <v>4</v>
      </c>
      <c r="R88">
        <v>3</v>
      </c>
      <c r="S88">
        <v>1</v>
      </c>
      <c r="T88">
        <v>1</v>
      </c>
      <c r="U88">
        <v>0</v>
      </c>
      <c r="V88">
        <v>1</v>
      </c>
      <c r="W88">
        <v>1</v>
      </c>
      <c r="X88">
        <v>3</v>
      </c>
      <c r="Y88">
        <v>3</v>
      </c>
      <c r="Z88">
        <v>0</v>
      </c>
      <c r="AA88">
        <v>2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1</v>
      </c>
      <c r="AI88">
        <f>AJ88*ledd!$B$2+AK88*ledd!$B$3+AL88*ledd!$B$4+AM88*ledd!$B$5+AN88*ledd!$B$6+AO88*ledd!$B$7+AP88*ledd!$B$8+AQ88*ledd!$B$9+AR88*ledd!$B$10+AS88*ledd!$B$11+AT88*ledd!$B$12+AU88*ledd!$B$13+AV88*ledd!$B$14+AW88*ledd!$B$15+AX88*ledd!$B$16</f>
        <v>300</v>
      </c>
      <c r="AJ88">
        <v>300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3</v>
      </c>
      <c r="AZ88" s="3">
        <v>3</v>
      </c>
      <c r="BA88" s="3">
        <v>3</v>
      </c>
      <c r="BB88" s="3">
        <v>2</v>
      </c>
      <c r="BC88" s="3">
        <v>2</v>
      </c>
      <c r="BD88" s="3">
        <v>1</v>
      </c>
      <c r="BE88" s="3">
        <v>3</v>
      </c>
      <c r="BF88" s="3">
        <v>3</v>
      </c>
      <c r="BG88" s="3">
        <v>3</v>
      </c>
      <c r="BH88" s="3">
        <v>2</v>
      </c>
      <c r="BI88" s="3">
        <v>3</v>
      </c>
      <c r="BJ88" s="3">
        <v>2</v>
      </c>
      <c r="BK88" s="3">
        <v>3</v>
      </c>
      <c r="BL88" s="3">
        <v>3</v>
      </c>
      <c r="BM88" s="3">
        <v>1</v>
      </c>
      <c r="BN88" s="3">
        <v>2</v>
      </c>
      <c r="BO88" s="3">
        <v>1</v>
      </c>
      <c r="BP88" s="3">
        <v>2</v>
      </c>
      <c r="BQ88" s="3">
        <v>2</v>
      </c>
      <c r="BR88" s="3">
        <v>1</v>
      </c>
      <c r="BS88" s="3">
        <v>1</v>
      </c>
      <c r="BT88" s="3">
        <v>1</v>
      </c>
      <c r="BU88" s="3">
        <v>1</v>
      </c>
      <c r="BV88" s="3">
        <v>2</v>
      </c>
      <c r="BW88" s="3">
        <v>1</v>
      </c>
      <c r="BX88" s="3">
        <v>1</v>
      </c>
      <c r="BY88" s="3">
        <v>2</v>
      </c>
      <c r="BZ88" s="3">
        <v>1</v>
      </c>
      <c r="CA88" s="3">
        <v>1</v>
      </c>
      <c r="CB88" s="3">
        <v>1</v>
      </c>
      <c r="CC88" s="3">
        <v>2</v>
      </c>
      <c r="CD88" s="3">
        <v>2</v>
      </c>
      <c r="CE88" s="3">
        <v>2</v>
      </c>
      <c r="CF88" s="3">
        <v>3</v>
      </c>
      <c r="CG88" s="3">
        <v>2</v>
      </c>
      <c r="CH88" s="3">
        <v>2</v>
      </c>
      <c r="CI88" s="3">
        <v>2</v>
      </c>
      <c r="CJ88" s="3">
        <v>1</v>
      </c>
      <c r="CK88" s="3">
        <v>3</v>
      </c>
      <c r="CL88" s="3">
        <v>1</v>
      </c>
      <c r="CM88" s="3">
        <f t="shared" si="29"/>
        <v>62.5</v>
      </c>
      <c r="CN88" s="3">
        <f t="shared" si="30"/>
        <v>50</v>
      </c>
      <c r="CO88" s="3">
        <f t="shared" si="31"/>
        <v>33.333333333333336</v>
      </c>
      <c r="CP88" s="3">
        <f t="shared" si="32"/>
        <v>37.5</v>
      </c>
      <c r="CQ88" s="3">
        <f t="shared" si="33"/>
        <v>25</v>
      </c>
      <c r="CR88" s="3">
        <f t="shared" si="34"/>
        <v>56.25</v>
      </c>
      <c r="CS88">
        <f t="shared" si="35"/>
        <v>50</v>
      </c>
      <c r="CT88">
        <f t="shared" si="36"/>
        <v>41.666666666666664</v>
      </c>
      <c r="CU88">
        <f t="shared" si="37"/>
        <v>44.531250000000007</v>
      </c>
      <c r="CV88">
        <v>0</v>
      </c>
      <c r="CW88">
        <v>3</v>
      </c>
      <c r="CX88">
        <v>0</v>
      </c>
      <c r="CY88">
        <v>0</v>
      </c>
      <c r="CZ88">
        <v>2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4</v>
      </c>
      <c r="DG88">
        <v>0</v>
      </c>
      <c r="DH88">
        <v>0</v>
      </c>
      <c r="DI88">
        <v>2</v>
      </c>
      <c r="DJ88">
        <v>0</v>
      </c>
      <c r="DK88">
        <f t="shared" si="24"/>
        <v>11</v>
      </c>
      <c r="DL88">
        <v>2</v>
      </c>
      <c r="DM88">
        <v>1</v>
      </c>
      <c r="DN88">
        <v>0</v>
      </c>
      <c r="DO88">
        <v>1</v>
      </c>
      <c r="DP88">
        <v>1</v>
      </c>
      <c r="DQ88">
        <v>1</v>
      </c>
      <c r="DR88">
        <v>0</v>
      </c>
      <c r="DS88">
        <v>0</v>
      </c>
      <c r="DT88">
        <v>1</v>
      </c>
      <c r="DU88">
        <v>0</v>
      </c>
      <c r="DV88">
        <v>2</v>
      </c>
      <c r="DW88">
        <v>1</v>
      </c>
      <c r="DX88">
        <v>1</v>
      </c>
      <c r="DY88">
        <f t="shared" si="25"/>
        <v>11</v>
      </c>
      <c r="DZ88">
        <v>3</v>
      </c>
      <c r="EA88">
        <v>2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1</v>
      </c>
      <c r="EJ88">
        <v>1</v>
      </c>
      <c r="EK88">
        <v>0</v>
      </c>
      <c r="EL88">
        <v>0</v>
      </c>
      <c r="EM88">
        <v>1</v>
      </c>
      <c r="EN88">
        <v>1</v>
      </c>
      <c r="EO88">
        <v>1</v>
      </c>
      <c r="EP88">
        <v>1</v>
      </c>
      <c r="EQ88">
        <v>3</v>
      </c>
      <c r="ER88">
        <v>2</v>
      </c>
      <c r="ES88">
        <v>1</v>
      </c>
      <c r="ET88">
        <v>4</v>
      </c>
      <c r="EU88">
        <v>2</v>
      </c>
      <c r="EV88">
        <v>3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f t="shared" si="26"/>
        <v>26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f t="shared" si="27"/>
        <v>0</v>
      </c>
      <c r="FO88">
        <f t="shared" si="38"/>
        <v>48</v>
      </c>
      <c r="FP88">
        <v>6</v>
      </c>
      <c r="FQ88">
        <v>1</v>
      </c>
      <c r="FR88">
        <v>3</v>
      </c>
      <c r="FS88">
        <v>5</v>
      </c>
      <c r="FT88">
        <v>3</v>
      </c>
      <c r="FU88">
        <v>1</v>
      </c>
      <c r="FV88">
        <v>5</v>
      </c>
      <c r="FW88">
        <v>5</v>
      </c>
      <c r="FX88">
        <f t="shared" si="39"/>
        <v>23</v>
      </c>
      <c r="FY88">
        <v>0</v>
      </c>
      <c r="FZ88">
        <f t="shared" si="28"/>
        <v>4</v>
      </c>
      <c r="GA88">
        <v>0</v>
      </c>
    </row>
    <row r="89" spans="1:183" x14ac:dyDescent="0.2">
      <c r="A89">
        <v>88</v>
      </c>
      <c r="B89">
        <v>1</v>
      </c>
      <c r="C89">
        <v>1</v>
      </c>
      <c r="D89">
        <v>1</v>
      </c>
      <c r="E89" s="2">
        <v>17614</v>
      </c>
      <c r="F89" s="2">
        <v>44771</v>
      </c>
      <c r="G89" s="3">
        <f t="shared" si="22"/>
        <v>74.333333333333329</v>
      </c>
      <c r="H89">
        <v>67</v>
      </c>
      <c r="I89" s="3">
        <f t="shared" si="23"/>
        <v>7.3333333333333286</v>
      </c>
      <c r="J89">
        <v>0</v>
      </c>
      <c r="K89">
        <v>1</v>
      </c>
      <c r="L89">
        <v>0</v>
      </c>
      <c r="M89">
        <v>0</v>
      </c>
      <c r="N89">
        <v>2</v>
      </c>
      <c r="O89">
        <v>1</v>
      </c>
      <c r="P89">
        <v>3</v>
      </c>
      <c r="Q89">
        <v>4</v>
      </c>
      <c r="R89">
        <v>3</v>
      </c>
      <c r="S89">
        <v>1</v>
      </c>
      <c r="T89">
        <v>1</v>
      </c>
      <c r="U89">
        <v>0</v>
      </c>
      <c r="V89">
        <v>1</v>
      </c>
      <c r="W89">
        <v>1</v>
      </c>
      <c r="X89">
        <v>0</v>
      </c>
      <c r="Y89">
        <v>0</v>
      </c>
      <c r="AA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f>AJ89*ledd!$B$2+AK89*ledd!$B$3+AL89*ledd!$B$4+AM89*ledd!$B$5+AN89*ledd!$B$6+AO89*ledd!$B$7+AP89*ledd!$B$8+AQ89*ledd!$B$9+AR89*ledd!$B$10+AS89*ledd!$B$11+AT89*ledd!$B$12+AU89*ledd!$B$13+AV89*ledd!$B$14+AW89*ledd!$B$15+AX89*ledd!$B$16</f>
        <v>1280</v>
      </c>
      <c r="AJ89">
        <v>700</v>
      </c>
      <c r="AK89">
        <v>200</v>
      </c>
      <c r="AL89">
        <v>1000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2</v>
      </c>
      <c r="AZ89" s="3">
        <v>3</v>
      </c>
      <c r="BA89" s="3">
        <v>3</v>
      </c>
      <c r="BB89" s="3">
        <v>1</v>
      </c>
      <c r="BC89" s="3">
        <v>4</v>
      </c>
      <c r="BD89" s="3">
        <v>3</v>
      </c>
      <c r="BE89" s="3">
        <v>3</v>
      </c>
      <c r="BF89" s="3">
        <v>3</v>
      </c>
      <c r="BG89" s="3">
        <v>4</v>
      </c>
      <c r="BH89" s="3">
        <v>3</v>
      </c>
      <c r="BI89" s="3">
        <v>4</v>
      </c>
      <c r="BJ89" s="3">
        <v>1</v>
      </c>
      <c r="BK89" s="3">
        <v>1</v>
      </c>
      <c r="BL89" s="3">
        <v>0</v>
      </c>
      <c r="BM89" s="3">
        <v>2</v>
      </c>
      <c r="BN89" s="3">
        <v>2</v>
      </c>
      <c r="BO89" s="3">
        <v>0</v>
      </c>
      <c r="BP89" s="3">
        <v>3</v>
      </c>
      <c r="BQ89" s="3">
        <v>3</v>
      </c>
      <c r="BR89" s="3">
        <v>0</v>
      </c>
      <c r="BS89" s="3">
        <v>3</v>
      </c>
      <c r="BT89" s="3">
        <v>0</v>
      </c>
      <c r="BU89" s="3">
        <v>2</v>
      </c>
      <c r="BV89" s="3">
        <v>0</v>
      </c>
      <c r="BW89" s="3">
        <v>0</v>
      </c>
      <c r="BX89" s="3">
        <v>0</v>
      </c>
      <c r="BY89" s="3">
        <v>0</v>
      </c>
      <c r="BZ89" s="3">
        <v>3</v>
      </c>
      <c r="CA89" s="3">
        <v>2</v>
      </c>
      <c r="CB89" s="3">
        <v>0</v>
      </c>
      <c r="CC89" s="3">
        <v>3</v>
      </c>
      <c r="CD89" s="3">
        <v>4</v>
      </c>
      <c r="CE89" s="3">
        <v>1</v>
      </c>
      <c r="CF89" s="3">
        <v>2</v>
      </c>
      <c r="CG89" s="3">
        <v>2</v>
      </c>
      <c r="CH89" s="3">
        <v>0</v>
      </c>
      <c r="CI89" s="3">
        <v>0</v>
      </c>
      <c r="CJ89" s="3">
        <v>3</v>
      </c>
      <c r="CK89" s="3">
        <v>0</v>
      </c>
      <c r="CL89" s="3">
        <v>4</v>
      </c>
      <c r="CM89" s="3">
        <f t="shared" si="29"/>
        <v>77.5</v>
      </c>
      <c r="CN89" s="3">
        <f t="shared" si="30"/>
        <v>25</v>
      </c>
      <c r="CO89" s="3">
        <f t="shared" si="31"/>
        <v>45.833333333333336</v>
      </c>
      <c r="CP89" s="3">
        <f t="shared" si="32"/>
        <v>0</v>
      </c>
      <c r="CQ89" s="3">
        <f t="shared" si="33"/>
        <v>41.666666666666664</v>
      </c>
      <c r="CR89" s="3">
        <f t="shared" si="34"/>
        <v>62.5</v>
      </c>
      <c r="CS89">
        <f t="shared" si="35"/>
        <v>16.666666666666668</v>
      </c>
      <c r="CT89">
        <f t="shared" si="36"/>
        <v>58.333333333333336</v>
      </c>
      <c r="CU89">
        <f t="shared" si="37"/>
        <v>40.9375</v>
      </c>
      <c r="CV89">
        <v>4</v>
      </c>
      <c r="CW89">
        <v>2</v>
      </c>
      <c r="CX89">
        <v>3</v>
      </c>
      <c r="CY89">
        <v>0</v>
      </c>
      <c r="CZ89">
        <v>3</v>
      </c>
      <c r="DA89">
        <v>3</v>
      </c>
      <c r="DB89">
        <v>0</v>
      </c>
      <c r="DC89">
        <v>3</v>
      </c>
      <c r="DD89">
        <v>3</v>
      </c>
      <c r="DE89">
        <v>4</v>
      </c>
      <c r="DF89">
        <v>2</v>
      </c>
      <c r="DG89">
        <v>3</v>
      </c>
      <c r="DH89">
        <v>0</v>
      </c>
      <c r="DI89">
        <v>2</v>
      </c>
      <c r="DJ89">
        <v>0</v>
      </c>
      <c r="DK89">
        <f t="shared" si="24"/>
        <v>32</v>
      </c>
      <c r="DL89">
        <v>0</v>
      </c>
      <c r="DM89">
        <v>0</v>
      </c>
      <c r="DN89">
        <v>3</v>
      </c>
      <c r="DO89">
        <v>1</v>
      </c>
      <c r="DP89">
        <v>1</v>
      </c>
      <c r="DQ89">
        <v>1</v>
      </c>
      <c r="DR89">
        <v>4</v>
      </c>
      <c r="DS89">
        <v>3</v>
      </c>
      <c r="DT89">
        <v>2</v>
      </c>
      <c r="DU89">
        <v>0</v>
      </c>
      <c r="DV89">
        <v>0</v>
      </c>
      <c r="DW89">
        <v>1</v>
      </c>
      <c r="DX89">
        <v>2</v>
      </c>
      <c r="DY89">
        <f t="shared" si="25"/>
        <v>18</v>
      </c>
      <c r="DZ89">
        <v>0</v>
      </c>
      <c r="EA89">
        <v>2</v>
      </c>
      <c r="EB89">
        <v>0</v>
      </c>
      <c r="EC89">
        <v>2</v>
      </c>
      <c r="ED89">
        <v>3</v>
      </c>
      <c r="EE89">
        <v>3</v>
      </c>
      <c r="EF89">
        <v>3</v>
      </c>
      <c r="EG89">
        <v>1</v>
      </c>
      <c r="EH89">
        <v>2</v>
      </c>
      <c r="EI89">
        <v>1</v>
      </c>
      <c r="EJ89">
        <v>2</v>
      </c>
      <c r="EK89">
        <v>1</v>
      </c>
      <c r="EL89">
        <v>2</v>
      </c>
      <c r="EM89">
        <v>1</v>
      </c>
      <c r="EN89">
        <v>3</v>
      </c>
      <c r="EO89">
        <v>1</v>
      </c>
      <c r="EP89">
        <v>1</v>
      </c>
      <c r="EQ89">
        <v>0</v>
      </c>
      <c r="ER89">
        <v>2</v>
      </c>
      <c r="ES89">
        <v>2</v>
      </c>
      <c r="ET89">
        <v>1</v>
      </c>
      <c r="EU89">
        <v>1</v>
      </c>
      <c r="EV89">
        <v>3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f t="shared" si="26"/>
        <v>37</v>
      </c>
      <c r="FH89">
        <v>0</v>
      </c>
      <c r="FI89">
        <v>0</v>
      </c>
      <c r="FJ89">
        <v>2</v>
      </c>
      <c r="FK89">
        <v>2</v>
      </c>
      <c r="FL89">
        <v>0</v>
      </c>
      <c r="FM89">
        <v>0</v>
      </c>
      <c r="FN89">
        <f t="shared" si="27"/>
        <v>4</v>
      </c>
      <c r="FO89">
        <f t="shared" si="38"/>
        <v>91</v>
      </c>
      <c r="FP89">
        <v>12</v>
      </c>
      <c r="FQ89">
        <v>5</v>
      </c>
      <c r="FR89">
        <v>3</v>
      </c>
      <c r="FS89">
        <v>6</v>
      </c>
      <c r="FT89">
        <v>2</v>
      </c>
      <c r="FU89">
        <v>2</v>
      </c>
      <c r="FV89">
        <v>5</v>
      </c>
      <c r="FW89">
        <v>6</v>
      </c>
      <c r="FX89">
        <f t="shared" si="39"/>
        <v>29</v>
      </c>
      <c r="FY89">
        <v>0</v>
      </c>
      <c r="FZ89">
        <f t="shared" si="28"/>
        <v>3</v>
      </c>
      <c r="GA89">
        <v>0</v>
      </c>
    </row>
    <row r="90" spans="1:183" x14ac:dyDescent="0.2">
      <c r="A90">
        <v>89</v>
      </c>
      <c r="B90">
        <v>1</v>
      </c>
      <c r="C90">
        <v>1</v>
      </c>
      <c r="D90">
        <v>1</v>
      </c>
      <c r="E90" s="2">
        <v>22130</v>
      </c>
      <c r="F90" s="2">
        <v>44782</v>
      </c>
      <c r="G90" s="3">
        <f t="shared" si="22"/>
        <v>62</v>
      </c>
      <c r="H90">
        <v>52</v>
      </c>
      <c r="I90" s="3">
        <f t="shared" si="23"/>
        <v>10</v>
      </c>
      <c r="J90">
        <v>0</v>
      </c>
      <c r="K90">
        <v>1</v>
      </c>
      <c r="L90">
        <v>0</v>
      </c>
      <c r="M90">
        <v>0</v>
      </c>
      <c r="N90">
        <v>2</v>
      </c>
      <c r="O90">
        <v>0</v>
      </c>
      <c r="P90">
        <v>3</v>
      </c>
      <c r="Q90">
        <v>4</v>
      </c>
      <c r="R90">
        <v>3</v>
      </c>
      <c r="S90">
        <v>0</v>
      </c>
      <c r="T90">
        <v>0</v>
      </c>
      <c r="U90">
        <v>0</v>
      </c>
      <c r="V90">
        <v>1</v>
      </c>
      <c r="W90">
        <v>1</v>
      </c>
      <c r="X90">
        <v>2</v>
      </c>
      <c r="Y90">
        <v>2</v>
      </c>
      <c r="Z90">
        <v>0</v>
      </c>
      <c r="AA90">
        <v>2</v>
      </c>
      <c r="AB90">
        <v>0</v>
      </c>
      <c r="AC90">
        <v>5</v>
      </c>
      <c r="AD90">
        <v>5</v>
      </c>
      <c r="AE90">
        <v>1</v>
      </c>
      <c r="AF90">
        <v>0</v>
      </c>
      <c r="AG90">
        <v>0</v>
      </c>
      <c r="AH90">
        <v>0</v>
      </c>
      <c r="AI90">
        <f>AJ90*ledd!$B$2+AK90*ledd!$B$3+AL90*ledd!$B$4+AM90*ledd!$B$5+AN90*ledd!$B$6+AO90*ledd!$B$7+AP90*ledd!$B$8+AQ90*ledd!$B$9+AR90*ledd!$B$10+AS90*ledd!$B$11+AT90*ledd!$B$12+AU90*ledd!$B$13+AV90*ledd!$B$14+AW90*ledd!$B$15+AX90*ledd!$B$16</f>
        <v>100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2</v>
      </c>
      <c r="AZ90" s="3">
        <v>3</v>
      </c>
      <c r="BA90" s="3">
        <v>2</v>
      </c>
      <c r="BB90" s="3">
        <v>2</v>
      </c>
      <c r="BC90" s="3">
        <v>1</v>
      </c>
      <c r="BD90" s="3">
        <v>0</v>
      </c>
      <c r="BE90" s="3">
        <v>1</v>
      </c>
      <c r="BF90" s="3">
        <v>0</v>
      </c>
      <c r="BG90" s="3">
        <v>0</v>
      </c>
      <c r="BH90" s="3">
        <v>0</v>
      </c>
      <c r="BI90" s="3">
        <v>2</v>
      </c>
      <c r="BJ90" s="3">
        <v>0</v>
      </c>
      <c r="BK90" s="3">
        <v>0</v>
      </c>
      <c r="BL90" s="3">
        <v>0</v>
      </c>
      <c r="BM90" s="3">
        <v>3</v>
      </c>
      <c r="BN90" s="3">
        <v>2</v>
      </c>
      <c r="BO90" s="3">
        <v>1</v>
      </c>
      <c r="BP90" s="3">
        <v>1</v>
      </c>
      <c r="BQ90" s="3">
        <v>0</v>
      </c>
      <c r="BR90" s="3">
        <v>1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2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2</v>
      </c>
      <c r="CF90" s="3">
        <v>0</v>
      </c>
      <c r="CG90" s="3">
        <v>2</v>
      </c>
      <c r="CH90" s="3">
        <v>1</v>
      </c>
      <c r="CI90" s="3">
        <v>0</v>
      </c>
      <c r="CJ90" s="3">
        <v>3</v>
      </c>
      <c r="CK90" s="3">
        <v>3</v>
      </c>
      <c r="CL90" s="3">
        <v>0</v>
      </c>
      <c r="CM90" s="3">
        <f t="shared" si="29"/>
        <v>27.5</v>
      </c>
      <c r="CN90" s="3">
        <f t="shared" si="30"/>
        <v>25</v>
      </c>
      <c r="CO90" s="3">
        <f t="shared" si="31"/>
        <v>8.3333333333333339</v>
      </c>
      <c r="CP90" s="3">
        <f t="shared" si="32"/>
        <v>12.5</v>
      </c>
      <c r="CQ90" s="3">
        <f t="shared" si="33"/>
        <v>0</v>
      </c>
      <c r="CR90" s="3">
        <f t="shared" si="34"/>
        <v>12.5</v>
      </c>
      <c r="CS90">
        <f t="shared" si="35"/>
        <v>25</v>
      </c>
      <c r="CT90">
        <f t="shared" si="36"/>
        <v>50</v>
      </c>
      <c r="CU90">
        <f t="shared" si="37"/>
        <v>20.104166666666668</v>
      </c>
      <c r="CV90">
        <v>0</v>
      </c>
      <c r="CW90">
        <v>0</v>
      </c>
      <c r="CX90">
        <v>0</v>
      </c>
      <c r="CY90">
        <v>0</v>
      </c>
      <c r="CZ90">
        <v>2</v>
      </c>
      <c r="DA90">
        <v>0</v>
      </c>
      <c r="DB90">
        <v>0</v>
      </c>
      <c r="DC90">
        <v>1</v>
      </c>
      <c r="DD90">
        <v>0</v>
      </c>
      <c r="DE90">
        <v>2</v>
      </c>
      <c r="DF90">
        <v>0</v>
      </c>
      <c r="DG90">
        <v>0</v>
      </c>
      <c r="DH90">
        <v>0</v>
      </c>
      <c r="DI90">
        <v>0</v>
      </c>
      <c r="DJ90">
        <v>0</v>
      </c>
      <c r="DK90">
        <f t="shared" si="24"/>
        <v>5</v>
      </c>
      <c r="DL90">
        <v>0</v>
      </c>
      <c r="DM90">
        <v>0</v>
      </c>
      <c r="DN90">
        <v>0</v>
      </c>
      <c r="DO90">
        <v>1</v>
      </c>
      <c r="DP90">
        <v>1</v>
      </c>
      <c r="DQ90">
        <v>0</v>
      </c>
      <c r="DR90">
        <v>4</v>
      </c>
      <c r="DS90">
        <v>0</v>
      </c>
      <c r="DT90">
        <v>0</v>
      </c>
      <c r="DU90">
        <v>1</v>
      </c>
      <c r="DV90">
        <v>0</v>
      </c>
      <c r="DW90">
        <v>0</v>
      </c>
      <c r="DX90">
        <v>1</v>
      </c>
      <c r="DY90">
        <f t="shared" si="25"/>
        <v>8</v>
      </c>
      <c r="DZ90">
        <v>0</v>
      </c>
      <c r="EA90">
        <v>1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2</v>
      </c>
      <c r="EO90">
        <v>0</v>
      </c>
      <c r="EP90">
        <v>1</v>
      </c>
      <c r="EQ90">
        <v>0</v>
      </c>
      <c r="ER90">
        <v>0</v>
      </c>
      <c r="ES90">
        <v>0</v>
      </c>
      <c r="ET90">
        <v>0</v>
      </c>
      <c r="EU90">
        <v>1</v>
      </c>
      <c r="EV90">
        <v>0</v>
      </c>
      <c r="EW90">
        <v>0</v>
      </c>
      <c r="EX90">
        <v>1</v>
      </c>
      <c r="EY90">
        <v>0</v>
      </c>
      <c r="EZ90">
        <v>0</v>
      </c>
      <c r="FA90">
        <v>0</v>
      </c>
      <c r="FB90">
        <v>1</v>
      </c>
      <c r="FC90">
        <v>0</v>
      </c>
      <c r="FD90">
        <v>0</v>
      </c>
      <c r="FE90">
        <v>0</v>
      </c>
      <c r="FF90">
        <v>1</v>
      </c>
      <c r="FG90">
        <f t="shared" si="26"/>
        <v>8</v>
      </c>
      <c r="FH90">
        <v>1</v>
      </c>
      <c r="FI90">
        <v>1</v>
      </c>
      <c r="FJ90">
        <v>0</v>
      </c>
      <c r="FK90">
        <v>0</v>
      </c>
      <c r="FL90">
        <v>0</v>
      </c>
      <c r="FM90">
        <v>0</v>
      </c>
      <c r="FN90">
        <f t="shared" si="27"/>
        <v>2</v>
      </c>
      <c r="FO90">
        <f t="shared" si="38"/>
        <v>23</v>
      </c>
      <c r="FP90">
        <v>8</v>
      </c>
      <c r="FQ90">
        <v>5</v>
      </c>
      <c r="FR90">
        <v>3</v>
      </c>
      <c r="FS90">
        <v>6</v>
      </c>
      <c r="FT90">
        <v>3</v>
      </c>
      <c r="FU90">
        <v>2</v>
      </c>
      <c r="FV90">
        <v>4</v>
      </c>
      <c r="FW90">
        <v>6</v>
      </c>
      <c r="FX90">
        <f t="shared" si="39"/>
        <v>29</v>
      </c>
      <c r="FY90">
        <v>0</v>
      </c>
      <c r="FZ90">
        <f t="shared" si="28"/>
        <v>2</v>
      </c>
      <c r="GA90">
        <v>1</v>
      </c>
    </row>
    <row r="91" spans="1:183" x14ac:dyDescent="0.2">
      <c r="A91">
        <v>90</v>
      </c>
      <c r="B91">
        <v>1</v>
      </c>
      <c r="C91">
        <v>1</v>
      </c>
      <c r="D91">
        <v>1</v>
      </c>
      <c r="E91" s="2">
        <v>21764</v>
      </c>
      <c r="F91" s="2">
        <v>44059</v>
      </c>
      <c r="G91" s="3">
        <f t="shared" si="22"/>
        <v>61</v>
      </c>
      <c r="H91">
        <v>49</v>
      </c>
      <c r="I91" s="3">
        <f t="shared" si="23"/>
        <v>12</v>
      </c>
      <c r="J91">
        <v>0</v>
      </c>
      <c r="K91">
        <v>1</v>
      </c>
      <c r="L91">
        <v>8</v>
      </c>
      <c r="M91">
        <v>0</v>
      </c>
      <c r="N91">
        <v>2</v>
      </c>
      <c r="O91">
        <v>0</v>
      </c>
      <c r="P91">
        <v>1</v>
      </c>
      <c r="Q91">
        <v>2</v>
      </c>
      <c r="R91">
        <v>1</v>
      </c>
      <c r="S91">
        <v>0</v>
      </c>
      <c r="T91">
        <v>0</v>
      </c>
      <c r="U91">
        <v>0</v>
      </c>
      <c r="V91">
        <v>1</v>
      </c>
      <c r="W91">
        <v>1</v>
      </c>
      <c r="X91">
        <v>2</v>
      </c>
      <c r="Y91">
        <v>2</v>
      </c>
      <c r="Z91">
        <v>0</v>
      </c>
      <c r="AA91">
        <v>2</v>
      </c>
      <c r="AB91">
        <v>0</v>
      </c>
      <c r="AC91">
        <v>6</v>
      </c>
      <c r="AD91">
        <v>6</v>
      </c>
      <c r="AE91">
        <v>0</v>
      </c>
      <c r="AF91">
        <v>0</v>
      </c>
      <c r="AG91">
        <v>0</v>
      </c>
      <c r="AH91">
        <v>0</v>
      </c>
      <c r="AI91">
        <f>AJ91*ledd!$B$2+AK91*ledd!$B$3+AL91*ledd!$B$4+AM91*ledd!$B$5+AN91*ledd!$B$6+AO91*ledd!$B$7+AP91*ledd!$B$8+AQ91*ledd!$B$9+AR91*ledd!$B$10+AS91*ledd!$B$11+AT91*ledd!$B$12+AU91*ledd!$B$13+AV91*ledd!$B$14+AW91*ledd!$B$15+AX91*ledd!$B$16</f>
        <v>200</v>
      </c>
      <c r="AJ91">
        <v>100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2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3</v>
      </c>
      <c r="BN91" s="3">
        <v>0</v>
      </c>
      <c r="BO91" s="3">
        <v>1</v>
      </c>
      <c r="BP91" s="3">
        <v>0</v>
      </c>
      <c r="BQ91" s="3">
        <v>0</v>
      </c>
      <c r="BR91" s="3">
        <v>0</v>
      </c>
      <c r="BS91" s="3">
        <v>1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1</v>
      </c>
      <c r="CD91" s="3">
        <v>1</v>
      </c>
      <c r="CE91" s="3">
        <v>0</v>
      </c>
      <c r="CF91" s="3">
        <v>3</v>
      </c>
      <c r="CG91" s="3">
        <v>3</v>
      </c>
      <c r="CH91" s="3">
        <v>2</v>
      </c>
      <c r="CI91" s="3">
        <v>0</v>
      </c>
      <c r="CJ91" s="3">
        <v>1</v>
      </c>
      <c r="CK91" s="3">
        <v>1</v>
      </c>
      <c r="CL91" s="3">
        <v>1</v>
      </c>
      <c r="CM91" s="3">
        <f t="shared" si="29"/>
        <v>0</v>
      </c>
      <c r="CN91" s="3">
        <f t="shared" si="30"/>
        <v>16.666666666666668</v>
      </c>
      <c r="CO91" s="3">
        <f t="shared" si="31"/>
        <v>4.166666666666667</v>
      </c>
      <c r="CP91" s="3">
        <f t="shared" si="32"/>
        <v>0</v>
      </c>
      <c r="CQ91" s="3">
        <f t="shared" si="33"/>
        <v>0</v>
      </c>
      <c r="CR91" s="3">
        <f t="shared" si="34"/>
        <v>31.25</v>
      </c>
      <c r="CS91">
        <f t="shared" si="35"/>
        <v>41.666666666666664</v>
      </c>
      <c r="CT91">
        <f t="shared" si="36"/>
        <v>25</v>
      </c>
      <c r="CU91">
        <f t="shared" si="37"/>
        <v>14.84375</v>
      </c>
      <c r="CV91">
        <v>2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f t="shared" si="24"/>
        <v>2</v>
      </c>
      <c r="DL91">
        <v>3</v>
      </c>
      <c r="DM91">
        <v>1</v>
      </c>
      <c r="DN91">
        <v>0</v>
      </c>
      <c r="DO91">
        <v>0</v>
      </c>
      <c r="DP91">
        <v>0</v>
      </c>
      <c r="DQ91">
        <v>0</v>
      </c>
      <c r="DR91">
        <v>3</v>
      </c>
      <c r="DS91">
        <v>0</v>
      </c>
      <c r="DT91">
        <v>0</v>
      </c>
      <c r="DU91">
        <v>0</v>
      </c>
      <c r="DV91">
        <v>0</v>
      </c>
      <c r="DW91">
        <v>2</v>
      </c>
      <c r="DX91">
        <v>0</v>
      </c>
      <c r="DY91">
        <f t="shared" si="25"/>
        <v>9</v>
      </c>
      <c r="DZ91">
        <v>3</v>
      </c>
      <c r="EA91">
        <v>3</v>
      </c>
      <c r="EB91">
        <v>0</v>
      </c>
      <c r="EC91">
        <v>0</v>
      </c>
      <c r="ED91">
        <v>1</v>
      </c>
      <c r="EE91">
        <v>0</v>
      </c>
      <c r="EF91">
        <v>1</v>
      </c>
      <c r="EG91">
        <v>0</v>
      </c>
      <c r="EH91">
        <v>2</v>
      </c>
      <c r="EI91">
        <v>0</v>
      </c>
      <c r="EJ91">
        <v>1</v>
      </c>
      <c r="EK91">
        <v>0</v>
      </c>
      <c r="EL91">
        <v>0</v>
      </c>
      <c r="EM91">
        <v>0</v>
      </c>
      <c r="EN91">
        <v>1</v>
      </c>
      <c r="EO91">
        <v>2</v>
      </c>
      <c r="EP91">
        <v>1</v>
      </c>
      <c r="EQ91">
        <v>0</v>
      </c>
      <c r="ER91">
        <v>1</v>
      </c>
      <c r="ES91">
        <v>0</v>
      </c>
      <c r="ET91">
        <v>0</v>
      </c>
      <c r="EU91">
        <v>1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f t="shared" si="26"/>
        <v>17</v>
      </c>
      <c r="FH91">
        <v>1</v>
      </c>
      <c r="FI91">
        <v>1</v>
      </c>
      <c r="FJ91">
        <v>0</v>
      </c>
      <c r="FK91">
        <v>0</v>
      </c>
      <c r="FL91">
        <v>0</v>
      </c>
      <c r="FM91">
        <v>0</v>
      </c>
      <c r="FN91">
        <f t="shared" si="27"/>
        <v>2</v>
      </c>
      <c r="FO91">
        <f t="shared" si="38"/>
        <v>30</v>
      </c>
      <c r="FP91">
        <v>2</v>
      </c>
      <c r="FQ91">
        <v>3</v>
      </c>
      <c r="FR91">
        <v>3</v>
      </c>
      <c r="FS91">
        <v>6</v>
      </c>
      <c r="FT91">
        <v>3</v>
      </c>
      <c r="FU91">
        <v>2</v>
      </c>
      <c r="FV91">
        <v>5</v>
      </c>
      <c r="FW91">
        <v>6</v>
      </c>
      <c r="FX91">
        <f t="shared" si="39"/>
        <v>28</v>
      </c>
      <c r="FY91">
        <v>0</v>
      </c>
      <c r="FZ91">
        <f t="shared" si="28"/>
        <v>2</v>
      </c>
      <c r="GA91">
        <v>1</v>
      </c>
    </row>
    <row r="92" spans="1:183" x14ac:dyDescent="0.2">
      <c r="A92">
        <v>91</v>
      </c>
      <c r="B92">
        <v>1</v>
      </c>
      <c r="C92">
        <v>1</v>
      </c>
      <c r="D92">
        <v>1</v>
      </c>
      <c r="E92" s="2">
        <v>16300</v>
      </c>
      <c r="F92" s="2">
        <v>44794</v>
      </c>
      <c r="G92" s="3">
        <f t="shared" si="22"/>
        <v>78</v>
      </c>
      <c r="H92">
        <v>75</v>
      </c>
      <c r="I92" s="3">
        <f t="shared" si="23"/>
        <v>3</v>
      </c>
      <c r="J92">
        <v>0</v>
      </c>
      <c r="K92">
        <v>1</v>
      </c>
      <c r="L92">
        <v>7</v>
      </c>
      <c r="M92">
        <v>0</v>
      </c>
      <c r="N92">
        <v>2</v>
      </c>
      <c r="O92">
        <v>0</v>
      </c>
      <c r="P92">
        <v>2</v>
      </c>
      <c r="Q92">
        <v>2</v>
      </c>
      <c r="R92">
        <v>1</v>
      </c>
      <c r="S92">
        <v>1</v>
      </c>
      <c r="T92">
        <v>1</v>
      </c>
      <c r="U92">
        <v>0</v>
      </c>
      <c r="V92">
        <v>1</v>
      </c>
      <c r="W92">
        <v>1</v>
      </c>
      <c r="X92">
        <v>0</v>
      </c>
      <c r="Y92">
        <v>0</v>
      </c>
      <c r="AA92">
        <v>0</v>
      </c>
      <c r="AC92">
        <v>0</v>
      </c>
      <c r="AD92">
        <v>3</v>
      </c>
      <c r="AE92">
        <v>0</v>
      </c>
      <c r="AF92">
        <v>0</v>
      </c>
      <c r="AG92">
        <v>0</v>
      </c>
      <c r="AH92">
        <v>0</v>
      </c>
      <c r="AI92">
        <f>AJ92*ledd!$B$2+AK92*ledd!$B$3+AL92*ledd!$B$4+AM92*ledd!$B$5+AN92*ledd!$B$6+AO92*ledd!$B$7+AP92*ledd!$B$8+AQ92*ledd!$B$9+AR92*ledd!$B$10+AS92*ledd!$B$11+AT92*ledd!$B$12+AU92*ledd!$B$13+AV92*ledd!$B$14+AW92*ledd!$B$15+AX92*ledd!$B$16</f>
        <v>500</v>
      </c>
      <c r="AJ92">
        <v>400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3</v>
      </c>
      <c r="AZ92" s="3">
        <v>2</v>
      </c>
      <c r="BA92" s="3">
        <v>1</v>
      </c>
      <c r="BB92" s="3">
        <v>2</v>
      </c>
      <c r="BC92" s="3">
        <v>2</v>
      </c>
      <c r="BD92" s="3">
        <v>3</v>
      </c>
      <c r="BE92" s="3">
        <v>0</v>
      </c>
      <c r="BF92" s="3">
        <v>1</v>
      </c>
      <c r="BG92" s="3">
        <v>0</v>
      </c>
      <c r="BH92" s="3">
        <v>1</v>
      </c>
      <c r="BI92" s="3">
        <v>0</v>
      </c>
      <c r="BJ92" s="3">
        <v>0</v>
      </c>
      <c r="BK92" s="3">
        <v>0</v>
      </c>
      <c r="BL92" s="3">
        <v>0</v>
      </c>
      <c r="BM92" s="3">
        <v>1</v>
      </c>
      <c r="BN92" s="3">
        <v>2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2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3</v>
      </c>
      <c r="CF92" s="3">
        <v>0</v>
      </c>
      <c r="CG92" s="3">
        <v>1</v>
      </c>
      <c r="CH92" s="3">
        <v>0</v>
      </c>
      <c r="CI92" s="3">
        <v>0</v>
      </c>
      <c r="CJ92" s="3">
        <v>0</v>
      </c>
      <c r="CK92" s="3">
        <v>2</v>
      </c>
      <c r="CL92" s="3">
        <v>0</v>
      </c>
      <c r="CM92" s="3">
        <f t="shared" si="29"/>
        <v>30</v>
      </c>
      <c r="CN92" s="3">
        <f t="shared" si="30"/>
        <v>12.5</v>
      </c>
      <c r="CO92" s="3">
        <f t="shared" si="31"/>
        <v>8.3333333333333339</v>
      </c>
      <c r="CP92" s="3">
        <f t="shared" si="32"/>
        <v>0</v>
      </c>
      <c r="CQ92" s="3">
        <f t="shared" si="33"/>
        <v>0</v>
      </c>
      <c r="CR92" s="3">
        <f t="shared" si="34"/>
        <v>18.75</v>
      </c>
      <c r="CS92">
        <f t="shared" si="35"/>
        <v>8.3333333333333339</v>
      </c>
      <c r="CT92">
        <f t="shared" si="36"/>
        <v>16.666666666666668</v>
      </c>
      <c r="CU92">
        <f t="shared" si="37"/>
        <v>11.822916666666668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1</v>
      </c>
      <c r="DI92">
        <v>0</v>
      </c>
      <c r="DJ92">
        <v>0</v>
      </c>
      <c r="DK92">
        <f t="shared" si="24"/>
        <v>1</v>
      </c>
      <c r="DL92">
        <v>0</v>
      </c>
      <c r="DM92">
        <v>2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1</v>
      </c>
      <c r="DV92">
        <v>0</v>
      </c>
      <c r="DW92">
        <v>1</v>
      </c>
      <c r="DX92">
        <v>0</v>
      </c>
      <c r="DY92">
        <f t="shared" si="25"/>
        <v>5</v>
      </c>
      <c r="DZ92">
        <v>0</v>
      </c>
      <c r="EA92">
        <v>1</v>
      </c>
      <c r="EB92">
        <v>0</v>
      </c>
      <c r="EC92">
        <v>0</v>
      </c>
      <c r="ED92">
        <v>1</v>
      </c>
      <c r="EE92">
        <v>0</v>
      </c>
      <c r="EF92">
        <v>1</v>
      </c>
      <c r="EG92">
        <v>0</v>
      </c>
      <c r="EH92">
        <v>1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2</v>
      </c>
      <c r="ES92">
        <v>0</v>
      </c>
      <c r="ET92">
        <v>0</v>
      </c>
      <c r="EU92">
        <v>2</v>
      </c>
      <c r="EV92">
        <v>0</v>
      </c>
      <c r="EW92">
        <v>0</v>
      </c>
      <c r="EX92">
        <v>1</v>
      </c>
      <c r="EY92">
        <v>0</v>
      </c>
      <c r="EZ92">
        <v>0</v>
      </c>
      <c r="FA92">
        <v>0</v>
      </c>
      <c r="FB92">
        <v>2</v>
      </c>
      <c r="FC92">
        <v>0</v>
      </c>
      <c r="FD92">
        <v>0</v>
      </c>
      <c r="FE92">
        <v>0</v>
      </c>
      <c r="FF92">
        <v>1</v>
      </c>
      <c r="FG92">
        <f t="shared" si="26"/>
        <v>12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f t="shared" si="27"/>
        <v>0</v>
      </c>
      <c r="FO92">
        <f t="shared" si="38"/>
        <v>18</v>
      </c>
      <c r="FP92">
        <v>7</v>
      </c>
      <c r="FQ92">
        <v>4</v>
      </c>
      <c r="FR92">
        <v>3</v>
      </c>
      <c r="FS92">
        <v>6</v>
      </c>
      <c r="FT92">
        <v>3</v>
      </c>
      <c r="FU92">
        <v>2</v>
      </c>
      <c r="FV92">
        <v>1</v>
      </c>
      <c r="FW92">
        <v>6</v>
      </c>
      <c r="FX92">
        <f t="shared" si="39"/>
        <v>25</v>
      </c>
      <c r="FY92">
        <v>0</v>
      </c>
      <c r="FZ92">
        <f t="shared" si="28"/>
        <v>3</v>
      </c>
      <c r="GA92">
        <v>0</v>
      </c>
    </row>
    <row r="93" spans="1:183" x14ac:dyDescent="0.2">
      <c r="A93">
        <v>92</v>
      </c>
      <c r="B93">
        <v>1</v>
      </c>
      <c r="C93">
        <v>1</v>
      </c>
      <c r="D93">
        <v>0</v>
      </c>
      <c r="E93" s="2">
        <v>14991</v>
      </c>
      <c r="F93" s="2">
        <v>44802</v>
      </c>
      <c r="G93" s="3">
        <f t="shared" si="22"/>
        <v>81.583333333333329</v>
      </c>
      <c r="H93">
        <v>67</v>
      </c>
      <c r="I93" s="3">
        <f t="shared" si="23"/>
        <v>14.583333333333329</v>
      </c>
      <c r="J93">
        <v>0</v>
      </c>
      <c r="K93">
        <v>5</v>
      </c>
      <c r="L93">
        <v>1</v>
      </c>
      <c r="M93">
        <v>0</v>
      </c>
      <c r="N93">
        <v>1</v>
      </c>
      <c r="O93">
        <v>2</v>
      </c>
      <c r="P93">
        <v>1</v>
      </c>
      <c r="Q93">
        <v>2</v>
      </c>
      <c r="R93">
        <v>1</v>
      </c>
      <c r="S93">
        <v>1</v>
      </c>
      <c r="T93">
        <v>1</v>
      </c>
      <c r="U93">
        <v>0</v>
      </c>
      <c r="V93">
        <v>1</v>
      </c>
      <c r="W93">
        <v>1</v>
      </c>
      <c r="X93">
        <v>3</v>
      </c>
      <c r="Y93">
        <v>2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0</v>
      </c>
      <c r="AG93">
        <v>0</v>
      </c>
      <c r="AH93">
        <v>0</v>
      </c>
      <c r="AI93">
        <f>AJ93*ledd!$B$2+AK93*ledd!$B$3+AL93*ledd!$B$4+AM93*ledd!$B$5+AN93*ledd!$B$6+AO93*ledd!$B$7+AP93*ledd!$B$8+AQ93*ledd!$B$9+AR93*ledd!$B$10+AS93*ledd!$B$11+AT93*ledd!$B$12+AU93*ledd!$B$13+AV93*ledd!$B$14+AW93*ledd!$B$15+AX93*ledd!$B$16</f>
        <v>497.5</v>
      </c>
      <c r="AJ93">
        <v>200</v>
      </c>
      <c r="AK93">
        <v>50</v>
      </c>
      <c r="AL93">
        <v>0</v>
      </c>
      <c r="AM93">
        <v>0</v>
      </c>
      <c r="AN93">
        <v>0</v>
      </c>
      <c r="AO93">
        <v>8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100</v>
      </c>
      <c r="AX93">
        <v>0</v>
      </c>
      <c r="AY93">
        <v>3</v>
      </c>
      <c r="AZ93" s="3">
        <v>4</v>
      </c>
      <c r="BA93" s="3">
        <v>3</v>
      </c>
      <c r="BB93" s="3">
        <v>3</v>
      </c>
      <c r="BC93" s="3">
        <v>2</v>
      </c>
      <c r="BD93" s="3">
        <v>1</v>
      </c>
      <c r="BE93" s="3">
        <v>2</v>
      </c>
      <c r="BF93" s="3">
        <v>2</v>
      </c>
      <c r="BG93" s="3">
        <v>3</v>
      </c>
      <c r="BH93" s="3">
        <v>4</v>
      </c>
      <c r="BI93" s="3">
        <v>3</v>
      </c>
      <c r="BJ93" s="3">
        <v>0</v>
      </c>
      <c r="BK93" s="3">
        <v>0</v>
      </c>
      <c r="BL93" s="3">
        <v>1</v>
      </c>
      <c r="BM93" s="3">
        <v>4</v>
      </c>
      <c r="BN93" s="3">
        <v>2</v>
      </c>
      <c r="BO93" s="3">
        <v>0</v>
      </c>
      <c r="BP93" s="3">
        <v>2</v>
      </c>
      <c r="BQ93" s="3">
        <v>4</v>
      </c>
      <c r="BR93" s="3">
        <v>2</v>
      </c>
      <c r="BS93" s="3">
        <v>1</v>
      </c>
      <c r="BT93" s="3">
        <v>1</v>
      </c>
      <c r="BU93" s="3">
        <v>2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4</v>
      </c>
      <c r="CB93" s="3">
        <v>3</v>
      </c>
      <c r="CC93" s="3">
        <v>2</v>
      </c>
      <c r="CD93" s="3">
        <v>1</v>
      </c>
      <c r="CE93" s="3">
        <v>1</v>
      </c>
      <c r="CF93" s="3">
        <v>4</v>
      </c>
      <c r="CG93" s="3">
        <v>1</v>
      </c>
      <c r="CH93" s="3">
        <v>0</v>
      </c>
      <c r="CI93" s="3">
        <v>0</v>
      </c>
      <c r="CJ93" s="3">
        <v>3</v>
      </c>
      <c r="CK93" s="3">
        <v>4</v>
      </c>
      <c r="CL93" s="3">
        <v>3</v>
      </c>
      <c r="CM93" s="3">
        <f t="shared" si="29"/>
        <v>67.5</v>
      </c>
      <c r="CN93" s="3">
        <f t="shared" si="30"/>
        <v>29.166666666666668</v>
      </c>
      <c r="CO93" s="3">
        <f t="shared" si="31"/>
        <v>50</v>
      </c>
      <c r="CP93" s="3">
        <f t="shared" si="32"/>
        <v>0</v>
      </c>
      <c r="CQ93" s="3">
        <f t="shared" si="33"/>
        <v>58.333333333333336</v>
      </c>
      <c r="CR93" s="3">
        <f t="shared" si="34"/>
        <v>50</v>
      </c>
      <c r="CS93">
        <f t="shared" si="35"/>
        <v>8.3333333333333339</v>
      </c>
      <c r="CT93">
        <f t="shared" si="36"/>
        <v>83.333333333333329</v>
      </c>
      <c r="CU93">
        <f t="shared" si="37"/>
        <v>43.333333333333336</v>
      </c>
      <c r="CV93">
        <v>0</v>
      </c>
      <c r="CW93">
        <v>4</v>
      </c>
      <c r="CX93">
        <v>2</v>
      </c>
      <c r="CY93">
        <v>0</v>
      </c>
      <c r="CZ93">
        <v>0</v>
      </c>
      <c r="DA93">
        <v>0</v>
      </c>
      <c r="DB93">
        <v>0</v>
      </c>
      <c r="DC93">
        <v>3</v>
      </c>
      <c r="DD93">
        <v>4</v>
      </c>
      <c r="DE93">
        <v>4</v>
      </c>
      <c r="DF93">
        <v>4</v>
      </c>
      <c r="DG93">
        <v>0</v>
      </c>
      <c r="DH93">
        <v>4</v>
      </c>
      <c r="DI93">
        <v>2</v>
      </c>
      <c r="DJ93">
        <v>0</v>
      </c>
      <c r="DK93">
        <f t="shared" si="24"/>
        <v>27</v>
      </c>
      <c r="DL93">
        <v>0</v>
      </c>
      <c r="DM93">
        <v>2</v>
      </c>
      <c r="DN93">
        <v>4</v>
      </c>
      <c r="DO93">
        <v>2</v>
      </c>
      <c r="DP93">
        <v>0</v>
      </c>
      <c r="DQ93">
        <v>0</v>
      </c>
      <c r="DR93">
        <v>4</v>
      </c>
      <c r="DS93">
        <v>3</v>
      </c>
      <c r="DT93">
        <v>3</v>
      </c>
      <c r="DU93">
        <v>0</v>
      </c>
      <c r="DV93">
        <v>2</v>
      </c>
      <c r="DW93">
        <v>3</v>
      </c>
      <c r="DX93">
        <v>3</v>
      </c>
      <c r="DY93">
        <f t="shared" si="25"/>
        <v>26</v>
      </c>
      <c r="DZ93">
        <v>0</v>
      </c>
      <c r="EA93">
        <v>2</v>
      </c>
      <c r="EB93">
        <v>0</v>
      </c>
      <c r="EC93">
        <v>3</v>
      </c>
      <c r="ED93">
        <v>2</v>
      </c>
      <c r="EE93">
        <v>3</v>
      </c>
      <c r="EF93">
        <v>2</v>
      </c>
      <c r="EG93">
        <v>2</v>
      </c>
      <c r="EH93">
        <v>3</v>
      </c>
      <c r="EI93">
        <v>2</v>
      </c>
      <c r="EJ93">
        <v>3</v>
      </c>
      <c r="EK93">
        <v>2</v>
      </c>
      <c r="EL93">
        <v>3</v>
      </c>
      <c r="EM93">
        <v>0</v>
      </c>
      <c r="EN93">
        <v>0</v>
      </c>
      <c r="EO93">
        <v>0</v>
      </c>
      <c r="EP93">
        <v>0</v>
      </c>
      <c r="EQ93">
        <v>2</v>
      </c>
      <c r="ER93">
        <v>2</v>
      </c>
      <c r="ES93">
        <v>3</v>
      </c>
      <c r="ET93">
        <v>4</v>
      </c>
      <c r="EU93">
        <v>3</v>
      </c>
      <c r="EV93">
        <v>3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f t="shared" si="26"/>
        <v>44</v>
      </c>
      <c r="FH93">
        <v>0</v>
      </c>
      <c r="FI93">
        <v>0</v>
      </c>
      <c r="FJ93">
        <v>3</v>
      </c>
      <c r="FK93">
        <v>3</v>
      </c>
      <c r="FL93">
        <v>0</v>
      </c>
      <c r="FM93">
        <v>2</v>
      </c>
      <c r="FN93">
        <f t="shared" si="27"/>
        <v>8</v>
      </c>
      <c r="FO93">
        <f t="shared" si="38"/>
        <v>105</v>
      </c>
      <c r="FP93">
        <v>10</v>
      </c>
      <c r="FQ93">
        <v>4</v>
      </c>
      <c r="FR93">
        <v>3</v>
      </c>
      <c r="FS93">
        <v>6</v>
      </c>
      <c r="FT93">
        <v>3</v>
      </c>
      <c r="FU93">
        <v>2</v>
      </c>
      <c r="FV93">
        <v>3</v>
      </c>
      <c r="FW93">
        <v>5</v>
      </c>
      <c r="FX93">
        <f t="shared" si="39"/>
        <v>26</v>
      </c>
      <c r="FY93">
        <v>4</v>
      </c>
      <c r="FZ93">
        <f t="shared" si="28"/>
        <v>8</v>
      </c>
      <c r="GA93">
        <v>0</v>
      </c>
    </row>
    <row r="94" spans="1:183" x14ac:dyDescent="0.2">
      <c r="A94">
        <v>93</v>
      </c>
      <c r="B94">
        <v>1</v>
      </c>
      <c r="C94">
        <v>1</v>
      </c>
      <c r="D94">
        <v>0</v>
      </c>
      <c r="E94" s="2">
        <v>18159</v>
      </c>
      <c r="F94" s="2">
        <v>44804</v>
      </c>
      <c r="G94" s="3">
        <f t="shared" si="22"/>
        <v>72.916666666666671</v>
      </c>
      <c r="H94">
        <v>65</v>
      </c>
      <c r="I94" s="3">
        <f t="shared" si="23"/>
        <v>7.9166666666666714</v>
      </c>
      <c r="J94">
        <v>0</v>
      </c>
      <c r="K94">
        <v>3</v>
      </c>
      <c r="L94">
        <v>8</v>
      </c>
      <c r="M94">
        <v>0</v>
      </c>
      <c r="N94">
        <v>2</v>
      </c>
      <c r="O94">
        <v>0</v>
      </c>
      <c r="P94">
        <v>0</v>
      </c>
      <c r="Q94">
        <v>4</v>
      </c>
      <c r="R94">
        <v>3</v>
      </c>
      <c r="S94">
        <v>0</v>
      </c>
      <c r="T94">
        <v>1</v>
      </c>
      <c r="U94">
        <v>0</v>
      </c>
      <c r="V94">
        <v>1</v>
      </c>
      <c r="W94">
        <v>1</v>
      </c>
      <c r="X94">
        <v>1</v>
      </c>
      <c r="Y94">
        <v>2</v>
      </c>
      <c r="Z94">
        <v>4</v>
      </c>
      <c r="AA94">
        <v>1</v>
      </c>
      <c r="AB94">
        <v>4</v>
      </c>
      <c r="AC94">
        <v>0</v>
      </c>
      <c r="AD94">
        <v>0</v>
      </c>
      <c r="AE94">
        <v>1</v>
      </c>
      <c r="AF94">
        <v>0</v>
      </c>
      <c r="AG94">
        <v>0</v>
      </c>
      <c r="AH94">
        <v>0</v>
      </c>
      <c r="AI94">
        <f>AJ94*ledd!$B$2+AK94*ledd!$B$3+AL94*ledd!$B$4+AM94*ledd!$B$5+AN94*ledd!$B$6+AO94*ledd!$B$7+AP94*ledd!$B$8+AQ94*ledd!$B$9+AR94*ledd!$B$10+AS94*ledd!$B$11+AT94*ledd!$B$12+AU94*ledd!$B$13+AV94*ledd!$B$14+AW94*ledd!$B$15+AX94*ledd!$B$16</f>
        <v>700</v>
      </c>
      <c r="AJ94">
        <v>700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2</v>
      </c>
      <c r="AZ94" s="3">
        <v>2</v>
      </c>
      <c r="BA94" s="3">
        <v>0</v>
      </c>
      <c r="BB94" s="3">
        <v>0</v>
      </c>
      <c r="BC94" s="3">
        <v>2</v>
      </c>
      <c r="BD94" s="3">
        <v>1</v>
      </c>
      <c r="BE94" s="3">
        <v>1</v>
      </c>
      <c r="BF94" s="3">
        <v>1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1</v>
      </c>
      <c r="BM94" s="3">
        <v>0</v>
      </c>
      <c r="BN94" s="3">
        <v>0</v>
      </c>
      <c r="BO94" s="3">
        <v>0</v>
      </c>
      <c r="BP94" s="3">
        <v>1</v>
      </c>
      <c r="BQ94" s="3">
        <v>0</v>
      </c>
      <c r="BR94" s="3">
        <v>1</v>
      </c>
      <c r="BS94" s="3">
        <v>2</v>
      </c>
      <c r="BT94" s="3">
        <v>0</v>
      </c>
      <c r="BU94" s="3">
        <v>2</v>
      </c>
      <c r="BV94" s="3">
        <v>0</v>
      </c>
      <c r="BW94" s="3">
        <v>0</v>
      </c>
      <c r="BX94" s="3">
        <v>0</v>
      </c>
      <c r="BY94" s="3">
        <v>0</v>
      </c>
      <c r="BZ94" s="3">
        <v>2</v>
      </c>
      <c r="CA94" s="3">
        <v>1</v>
      </c>
      <c r="CB94" s="3">
        <v>0</v>
      </c>
      <c r="CC94" s="3">
        <v>3</v>
      </c>
      <c r="CD94" s="3">
        <v>0</v>
      </c>
      <c r="CE94" s="3">
        <v>2</v>
      </c>
      <c r="CF94" s="3">
        <v>1</v>
      </c>
      <c r="CG94" s="3">
        <v>0</v>
      </c>
      <c r="CH94" s="3">
        <v>0</v>
      </c>
      <c r="CI94" s="3">
        <v>0</v>
      </c>
      <c r="CJ94" s="3">
        <v>2</v>
      </c>
      <c r="CK94" s="3">
        <v>3</v>
      </c>
      <c r="CL94" s="3">
        <v>3</v>
      </c>
      <c r="CM94" s="3">
        <f t="shared" si="29"/>
        <v>17.5</v>
      </c>
      <c r="CN94" s="3">
        <f t="shared" si="30"/>
        <v>4.166666666666667</v>
      </c>
      <c r="CO94" s="3">
        <f t="shared" si="31"/>
        <v>25</v>
      </c>
      <c r="CP94" s="3">
        <f t="shared" si="32"/>
        <v>0</v>
      </c>
      <c r="CQ94" s="3">
        <f t="shared" si="33"/>
        <v>25</v>
      </c>
      <c r="CR94" s="3">
        <f t="shared" si="34"/>
        <v>37.5</v>
      </c>
      <c r="CS94">
        <f t="shared" si="35"/>
        <v>0</v>
      </c>
      <c r="CT94">
        <f t="shared" si="36"/>
        <v>66.666666666666671</v>
      </c>
      <c r="CU94">
        <f t="shared" si="37"/>
        <v>21.979166666666668</v>
      </c>
      <c r="CV94">
        <v>2</v>
      </c>
      <c r="CW94">
        <v>0</v>
      </c>
      <c r="CX94">
        <v>1</v>
      </c>
      <c r="CY94">
        <v>0</v>
      </c>
      <c r="CZ94">
        <v>1</v>
      </c>
      <c r="DA94">
        <v>0</v>
      </c>
      <c r="DB94">
        <v>0</v>
      </c>
      <c r="DC94">
        <v>3</v>
      </c>
      <c r="DD94">
        <v>2</v>
      </c>
      <c r="DE94">
        <v>3</v>
      </c>
      <c r="DF94">
        <v>3</v>
      </c>
      <c r="DG94">
        <v>0</v>
      </c>
      <c r="DH94">
        <v>2</v>
      </c>
      <c r="DI94">
        <v>0</v>
      </c>
      <c r="DJ94">
        <v>0</v>
      </c>
      <c r="DK94">
        <f t="shared" si="24"/>
        <v>17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2</v>
      </c>
      <c r="DT94">
        <v>0</v>
      </c>
      <c r="DU94">
        <v>1</v>
      </c>
      <c r="DV94">
        <v>1</v>
      </c>
      <c r="DW94">
        <v>2</v>
      </c>
      <c r="DX94">
        <v>0</v>
      </c>
      <c r="DY94">
        <f t="shared" si="25"/>
        <v>6</v>
      </c>
      <c r="DZ94">
        <v>1</v>
      </c>
      <c r="EA94">
        <v>1</v>
      </c>
      <c r="EB94">
        <v>1</v>
      </c>
      <c r="EC94">
        <v>1</v>
      </c>
      <c r="ED94">
        <v>2</v>
      </c>
      <c r="EE94">
        <v>1</v>
      </c>
      <c r="EF94">
        <v>2</v>
      </c>
      <c r="EG94">
        <v>1</v>
      </c>
      <c r="EH94">
        <v>2</v>
      </c>
      <c r="EI94">
        <v>1</v>
      </c>
      <c r="EJ94">
        <v>2</v>
      </c>
      <c r="EK94">
        <v>1</v>
      </c>
      <c r="EL94">
        <v>2</v>
      </c>
      <c r="EM94">
        <v>2</v>
      </c>
      <c r="EN94">
        <v>4</v>
      </c>
      <c r="EO94">
        <v>1</v>
      </c>
      <c r="EP94">
        <v>2</v>
      </c>
      <c r="EQ94">
        <v>0</v>
      </c>
      <c r="ER94">
        <v>1</v>
      </c>
      <c r="ES94">
        <v>0</v>
      </c>
      <c r="ET94">
        <v>0</v>
      </c>
      <c r="EU94">
        <v>1</v>
      </c>
      <c r="EV94">
        <v>1</v>
      </c>
      <c r="EW94">
        <v>0</v>
      </c>
      <c r="EX94">
        <v>1</v>
      </c>
      <c r="EY94">
        <v>0</v>
      </c>
      <c r="EZ94">
        <v>2</v>
      </c>
      <c r="FA94">
        <v>0</v>
      </c>
      <c r="FB94">
        <v>1</v>
      </c>
      <c r="FC94">
        <v>0</v>
      </c>
      <c r="FD94">
        <v>1</v>
      </c>
      <c r="FE94">
        <v>0</v>
      </c>
      <c r="FF94">
        <v>2</v>
      </c>
      <c r="FG94">
        <f t="shared" si="26"/>
        <v>37</v>
      </c>
      <c r="FH94">
        <v>0</v>
      </c>
      <c r="FI94">
        <v>0</v>
      </c>
      <c r="FJ94">
        <v>2</v>
      </c>
      <c r="FK94">
        <v>2</v>
      </c>
      <c r="FL94">
        <v>0</v>
      </c>
      <c r="FM94">
        <v>0</v>
      </c>
      <c r="FN94">
        <f t="shared" si="27"/>
        <v>4</v>
      </c>
      <c r="FO94">
        <f t="shared" si="38"/>
        <v>64</v>
      </c>
      <c r="FP94">
        <v>9</v>
      </c>
      <c r="FQ94">
        <v>5</v>
      </c>
      <c r="FR94">
        <v>3</v>
      </c>
      <c r="FS94">
        <v>6</v>
      </c>
      <c r="FT94">
        <v>3</v>
      </c>
      <c r="FU94">
        <v>2</v>
      </c>
      <c r="FV94">
        <v>3</v>
      </c>
      <c r="FW94">
        <v>6</v>
      </c>
      <c r="FX94">
        <f t="shared" si="39"/>
        <v>28</v>
      </c>
      <c r="FY94">
        <v>0</v>
      </c>
      <c r="FZ94">
        <f t="shared" si="28"/>
        <v>3</v>
      </c>
      <c r="GA94">
        <v>0</v>
      </c>
    </row>
    <row r="95" spans="1:183" x14ac:dyDescent="0.2">
      <c r="A95">
        <v>94</v>
      </c>
      <c r="B95">
        <v>1</v>
      </c>
      <c r="C95">
        <v>1</v>
      </c>
      <c r="D95">
        <v>1</v>
      </c>
      <c r="E95" s="2">
        <v>24915</v>
      </c>
      <c r="F95" s="2">
        <v>44826</v>
      </c>
      <c r="G95" s="3">
        <f t="shared" si="22"/>
        <v>54.5</v>
      </c>
      <c r="H95">
        <v>49</v>
      </c>
      <c r="I95" s="3">
        <f t="shared" si="23"/>
        <v>5.5</v>
      </c>
      <c r="J95">
        <v>11</v>
      </c>
      <c r="K95">
        <v>3</v>
      </c>
      <c r="L95">
        <v>8</v>
      </c>
      <c r="M95">
        <v>0</v>
      </c>
      <c r="N95">
        <v>2</v>
      </c>
      <c r="O95">
        <v>0</v>
      </c>
      <c r="P95">
        <v>1</v>
      </c>
      <c r="Q95">
        <v>4</v>
      </c>
      <c r="R95">
        <v>1</v>
      </c>
      <c r="S95">
        <v>0</v>
      </c>
      <c r="T95">
        <v>1</v>
      </c>
      <c r="U95">
        <v>0</v>
      </c>
      <c r="V95">
        <v>1</v>
      </c>
      <c r="W95">
        <v>1</v>
      </c>
      <c r="X95">
        <v>3</v>
      </c>
      <c r="Y95">
        <v>3</v>
      </c>
      <c r="Z95">
        <v>0</v>
      </c>
      <c r="AA95">
        <v>2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f>AJ95*ledd!$B$2+AK95*ledd!$B$3+AL95*ledd!$B$4+AM95*ledd!$B$5+AN95*ledd!$B$6+AO95*ledd!$B$7+AP95*ledd!$B$8+AQ95*ledd!$B$9+AR95*ledd!$B$10+AS95*ledd!$B$11+AT95*ledd!$B$12+AU95*ledd!$B$13+AV95*ledd!$B$14+AW95*ledd!$B$15+AX95*ledd!$B$16</f>
        <v>830</v>
      </c>
      <c r="AJ95">
        <v>500</v>
      </c>
      <c r="AK95">
        <v>0</v>
      </c>
      <c r="AL95">
        <v>1000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2</v>
      </c>
      <c r="AZ95" s="3">
        <v>2</v>
      </c>
      <c r="BA95" s="3">
        <v>2</v>
      </c>
      <c r="BB95" s="3">
        <v>2</v>
      </c>
      <c r="BC95" s="3">
        <v>3</v>
      </c>
      <c r="BD95" s="3">
        <v>2</v>
      </c>
      <c r="BE95" s="3">
        <v>2</v>
      </c>
      <c r="BF95" s="3">
        <v>2</v>
      </c>
      <c r="BG95" s="3">
        <v>1</v>
      </c>
      <c r="BH95" s="3">
        <v>3</v>
      </c>
      <c r="BI95" s="3">
        <v>2</v>
      </c>
      <c r="BJ95" s="3">
        <v>0</v>
      </c>
      <c r="BK95" s="3">
        <v>0</v>
      </c>
      <c r="BL95" s="3">
        <v>0</v>
      </c>
      <c r="BM95" s="3">
        <v>3</v>
      </c>
      <c r="BN95" s="3">
        <v>0</v>
      </c>
      <c r="BO95" s="3">
        <v>0</v>
      </c>
      <c r="BP95" s="3">
        <v>2</v>
      </c>
      <c r="BQ95" s="3">
        <v>2</v>
      </c>
      <c r="BR95" s="3">
        <v>3</v>
      </c>
      <c r="BS95" s="3">
        <v>1</v>
      </c>
      <c r="BT95" s="3">
        <v>1</v>
      </c>
      <c r="BU95" s="3">
        <v>3</v>
      </c>
      <c r="BV95" s="3">
        <v>3</v>
      </c>
      <c r="BW95" s="3">
        <v>0</v>
      </c>
      <c r="BX95" s="3">
        <v>1</v>
      </c>
      <c r="BY95" s="3">
        <v>1</v>
      </c>
      <c r="BZ95" s="3">
        <v>0</v>
      </c>
      <c r="CA95" s="3">
        <v>0</v>
      </c>
      <c r="CB95" s="3">
        <v>0</v>
      </c>
      <c r="CC95" s="3">
        <v>1</v>
      </c>
      <c r="CD95" s="3">
        <v>1</v>
      </c>
      <c r="CE95" s="3">
        <v>1</v>
      </c>
      <c r="CF95" s="3">
        <v>3</v>
      </c>
      <c r="CG95" s="3">
        <v>3</v>
      </c>
      <c r="CH95" s="3">
        <v>3</v>
      </c>
      <c r="CI95" s="3">
        <v>0</v>
      </c>
      <c r="CJ95" s="3">
        <v>2</v>
      </c>
      <c r="CK95" s="3">
        <v>2</v>
      </c>
      <c r="CL95" s="3">
        <v>0</v>
      </c>
      <c r="CM95" s="3">
        <f t="shared" si="29"/>
        <v>52.5</v>
      </c>
      <c r="CN95" s="3">
        <f t="shared" si="30"/>
        <v>12.5</v>
      </c>
      <c r="CO95" s="3">
        <f t="shared" si="31"/>
        <v>50</v>
      </c>
      <c r="CP95" s="3">
        <f t="shared" si="32"/>
        <v>31.25</v>
      </c>
      <c r="CQ95" s="3">
        <f t="shared" si="33"/>
        <v>0</v>
      </c>
      <c r="CR95" s="3">
        <f t="shared" si="34"/>
        <v>37.5</v>
      </c>
      <c r="CS95">
        <f t="shared" si="35"/>
        <v>50</v>
      </c>
      <c r="CT95">
        <f t="shared" si="36"/>
        <v>33.333333333333336</v>
      </c>
      <c r="CU95">
        <f t="shared" si="37"/>
        <v>33.385416666666664</v>
      </c>
      <c r="CV95">
        <v>0</v>
      </c>
      <c r="CW95">
        <v>0</v>
      </c>
      <c r="CX95">
        <v>2</v>
      </c>
      <c r="CY95">
        <v>1</v>
      </c>
      <c r="CZ95">
        <v>1</v>
      </c>
      <c r="DA95">
        <v>1</v>
      </c>
      <c r="DB95">
        <v>0</v>
      </c>
      <c r="DC95">
        <v>3</v>
      </c>
      <c r="DD95">
        <v>2</v>
      </c>
      <c r="DE95">
        <v>1</v>
      </c>
      <c r="DF95">
        <v>1</v>
      </c>
      <c r="DG95">
        <v>1</v>
      </c>
      <c r="DH95">
        <v>2</v>
      </c>
      <c r="DI95">
        <v>2</v>
      </c>
      <c r="DJ95">
        <v>0</v>
      </c>
      <c r="DK95">
        <f t="shared" si="24"/>
        <v>17</v>
      </c>
      <c r="DL95">
        <v>3</v>
      </c>
      <c r="DM95">
        <v>1</v>
      </c>
      <c r="DN95">
        <v>1</v>
      </c>
      <c r="DO95">
        <v>1</v>
      </c>
      <c r="DP95">
        <v>0</v>
      </c>
      <c r="DQ95">
        <v>0</v>
      </c>
      <c r="DR95">
        <v>3</v>
      </c>
      <c r="DS95">
        <v>0</v>
      </c>
      <c r="DT95">
        <v>1</v>
      </c>
      <c r="DU95">
        <v>1</v>
      </c>
      <c r="DV95">
        <v>1</v>
      </c>
      <c r="DW95">
        <v>1</v>
      </c>
      <c r="DX95">
        <v>0</v>
      </c>
      <c r="DY95">
        <f t="shared" si="25"/>
        <v>13</v>
      </c>
      <c r="DZ95">
        <v>1</v>
      </c>
      <c r="EA95">
        <v>2</v>
      </c>
      <c r="EB95">
        <v>2</v>
      </c>
      <c r="EC95">
        <v>2</v>
      </c>
      <c r="ED95">
        <v>2</v>
      </c>
      <c r="EE95">
        <v>2</v>
      </c>
      <c r="EF95">
        <v>2</v>
      </c>
      <c r="EG95">
        <v>0</v>
      </c>
      <c r="EH95">
        <v>0</v>
      </c>
      <c r="EI95">
        <v>1</v>
      </c>
      <c r="EJ95">
        <v>0</v>
      </c>
      <c r="EK95">
        <v>2</v>
      </c>
      <c r="EL95">
        <v>2</v>
      </c>
      <c r="EM95">
        <v>0</v>
      </c>
      <c r="EN95">
        <v>0</v>
      </c>
      <c r="EO95">
        <v>1</v>
      </c>
      <c r="EP95">
        <v>0</v>
      </c>
      <c r="EQ95">
        <v>1</v>
      </c>
      <c r="ER95">
        <v>0</v>
      </c>
      <c r="ES95">
        <v>0</v>
      </c>
      <c r="ET95">
        <v>1</v>
      </c>
      <c r="EU95">
        <v>0</v>
      </c>
      <c r="EV95">
        <v>0</v>
      </c>
      <c r="EW95">
        <v>0</v>
      </c>
      <c r="EX95">
        <v>1</v>
      </c>
      <c r="EY95">
        <v>0</v>
      </c>
      <c r="EZ95">
        <v>1</v>
      </c>
      <c r="FA95">
        <v>1</v>
      </c>
      <c r="FB95">
        <v>1</v>
      </c>
      <c r="FC95">
        <v>0</v>
      </c>
      <c r="FD95">
        <v>0</v>
      </c>
      <c r="FE95">
        <v>0</v>
      </c>
      <c r="FF95">
        <v>2</v>
      </c>
      <c r="FG95">
        <f t="shared" si="26"/>
        <v>27</v>
      </c>
      <c r="FH95">
        <v>2</v>
      </c>
      <c r="FI95">
        <v>2</v>
      </c>
      <c r="FJ95">
        <v>2</v>
      </c>
      <c r="FK95">
        <v>2</v>
      </c>
      <c r="FL95">
        <v>1</v>
      </c>
      <c r="FM95">
        <v>0</v>
      </c>
      <c r="FN95">
        <f t="shared" si="27"/>
        <v>9</v>
      </c>
      <c r="FO95">
        <f t="shared" si="38"/>
        <v>66</v>
      </c>
      <c r="FP95">
        <v>17</v>
      </c>
      <c r="FQ95">
        <v>4</v>
      </c>
      <c r="FR95">
        <v>3</v>
      </c>
      <c r="FS95">
        <v>6</v>
      </c>
      <c r="FT95">
        <v>2</v>
      </c>
      <c r="FU95">
        <v>2</v>
      </c>
      <c r="FV95">
        <v>4</v>
      </c>
      <c r="FW95">
        <v>6</v>
      </c>
      <c r="FX95">
        <f t="shared" si="39"/>
        <v>27</v>
      </c>
      <c r="FY95">
        <v>0</v>
      </c>
      <c r="FZ95">
        <f t="shared" si="28"/>
        <v>1</v>
      </c>
      <c r="GA95">
        <v>1</v>
      </c>
    </row>
    <row r="96" spans="1:183" x14ac:dyDescent="0.2">
      <c r="G96" s="3"/>
      <c r="I96" s="3"/>
    </row>
    <row r="97" spans="7:9" x14ac:dyDescent="0.2">
      <c r="G97" s="3"/>
      <c r="I97" s="3"/>
    </row>
    <row r="98" spans="7:9" x14ac:dyDescent="0.2">
      <c r="G98" s="3"/>
      <c r="I98" s="3"/>
    </row>
    <row r="99" spans="7:9" x14ac:dyDescent="0.2">
      <c r="G99" s="3"/>
      <c r="I99" s="3"/>
    </row>
    <row r="100" spans="7:9" x14ac:dyDescent="0.2">
      <c r="G100" s="3"/>
      <c r="I100" s="3"/>
    </row>
    <row r="101" spans="7:9" x14ac:dyDescent="0.2">
      <c r="G101" s="3"/>
      <c r="I101" s="3"/>
    </row>
    <row r="102" spans="7:9" x14ac:dyDescent="0.2">
      <c r="G102" s="3"/>
      <c r="I102" s="3"/>
    </row>
    <row r="103" spans="7:9" x14ac:dyDescent="0.2">
      <c r="G103" s="3"/>
      <c r="I103" s="3"/>
    </row>
    <row r="104" spans="7:9" x14ac:dyDescent="0.2">
      <c r="G104" s="3"/>
      <c r="I104" s="3"/>
    </row>
    <row r="105" spans="7:9" x14ac:dyDescent="0.2">
      <c r="G105" s="3"/>
      <c r="I105" s="3"/>
    </row>
    <row r="106" spans="7:9" x14ac:dyDescent="0.2">
      <c r="G106" s="3"/>
      <c r="I106" s="3"/>
    </row>
    <row r="107" spans="7:9" x14ac:dyDescent="0.2">
      <c r="G107" s="3"/>
      <c r="I107" s="3"/>
    </row>
    <row r="108" spans="7:9" x14ac:dyDescent="0.2">
      <c r="G108" s="3"/>
      <c r="I108" s="3"/>
    </row>
    <row r="109" spans="7:9" x14ac:dyDescent="0.2">
      <c r="G109" s="3"/>
      <c r="I109" s="3"/>
    </row>
    <row r="110" spans="7:9" x14ac:dyDescent="0.2">
      <c r="G110" s="3"/>
      <c r="I110" s="3"/>
    </row>
    <row r="111" spans="7:9" x14ac:dyDescent="0.2">
      <c r="G111" s="3"/>
      <c r="I111" s="3"/>
    </row>
    <row r="112" spans="7:9" x14ac:dyDescent="0.2">
      <c r="G112" s="3"/>
      <c r="I112" s="3"/>
    </row>
    <row r="113" spans="7:9" x14ac:dyDescent="0.2">
      <c r="G113" s="3"/>
      <c r="I113" s="3"/>
    </row>
    <row r="114" spans="7:9" x14ac:dyDescent="0.2">
      <c r="G114" s="3"/>
      <c r="I114" s="3"/>
    </row>
    <row r="115" spans="7:9" x14ac:dyDescent="0.2">
      <c r="G115" s="3"/>
      <c r="I115" s="3"/>
    </row>
    <row r="116" spans="7:9" x14ac:dyDescent="0.2">
      <c r="G116" s="3"/>
      <c r="I116" s="3"/>
    </row>
    <row r="117" spans="7:9" x14ac:dyDescent="0.2">
      <c r="G117" s="3"/>
      <c r="I117" s="3"/>
    </row>
    <row r="118" spans="7:9" x14ac:dyDescent="0.2">
      <c r="G118" s="3"/>
      <c r="I118" s="3"/>
    </row>
    <row r="119" spans="7:9" x14ac:dyDescent="0.2">
      <c r="G119" s="3"/>
      <c r="I119" s="3"/>
    </row>
    <row r="120" spans="7:9" x14ac:dyDescent="0.2">
      <c r="G120" s="3"/>
      <c r="I120" s="3"/>
    </row>
    <row r="121" spans="7:9" x14ac:dyDescent="0.2">
      <c r="G121" s="3"/>
      <c r="I121" s="3"/>
    </row>
    <row r="122" spans="7:9" x14ac:dyDescent="0.2">
      <c r="G122" s="3"/>
      <c r="I122" s="3"/>
    </row>
    <row r="123" spans="7:9" x14ac:dyDescent="0.2">
      <c r="G123" s="3"/>
      <c r="I123" s="3"/>
    </row>
    <row r="124" spans="7:9" x14ac:dyDescent="0.2">
      <c r="G124" s="3"/>
      <c r="I124" s="3"/>
    </row>
    <row r="125" spans="7:9" x14ac:dyDescent="0.2">
      <c r="G125" s="3"/>
      <c r="I125" s="3"/>
    </row>
    <row r="126" spans="7:9" x14ac:dyDescent="0.2">
      <c r="G126" s="3"/>
      <c r="I126" s="3"/>
    </row>
    <row r="127" spans="7:9" x14ac:dyDescent="0.2">
      <c r="G127" s="3"/>
      <c r="I127" s="3"/>
    </row>
    <row r="128" spans="7:9" x14ac:dyDescent="0.2">
      <c r="G128" s="3"/>
      <c r="I128" s="3"/>
    </row>
    <row r="129" spans="7:9" x14ac:dyDescent="0.2">
      <c r="G129" s="3"/>
      <c r="I129" s="3"/>
    </row>
    <row r="130" spans="7:9" x14ac:dyDescent="0.2">
      <c r="G130" s="3"/>
      <c r="I130" s="3"/>
    </row>
    <row r="131" spans="7:9" x14ac:dyDescent="0.2">
      <c r="G131" s="3"/>
      <c r="I131" s="3"/>
    </row>
    <row r="132" spans="7:9" x14ac:dyDescent="0.2">
      <c r="G132" s="3"/>
      <c r="I132" s="3"/>
    </row>
    <row r="133" spans="7:9" x14ac:dyDescent="0.2">
      <c r="G133" s="3"/>
      <c r="I133" s="3"/>
    </row>
    <row r="134" spans="7:9" x14ac:dyDescent="0.2">
      <c r="G134" s="3"/>
      <c r="I134" s="3"/>
    </row>
    <row r="135" spans="7:9" x14ac:dyDescent="0.2">
      <c r="G135" s="3"/>
      <c r="I135" s="3"/>
    </row>
    <row r="136" spans="7:9" x14ac:dyDescent="0.2">
      <c r="G136" s="3"/>
      <c r="I136" s="3"/>
    </row>
    <row r="137" spans="7:9" x14ac:dyDescent="0.2">
      <c r="G137" s="3"/>
      <c r="I137" s="3"/>
    </row>
    <row r="138" spans="7:9" x14ac:dyDescent="0.2">
      <c r="G138" s="3"/>
      <c r="I138" s="3"/>
    </row>
    <row r="139" spans="7:9" x14ac:dyDescent="0.2">
      <c r="G139" s="3"/>
      <c r="I139" s="3"/>
    </row>
    <row r="140" spans="7:9" x14ac:dyDescent="0.2">
      <c r="G140" s="3"/>
      <c r="I140" s="3"/>
    </row>
    <row r="141" spans="7:9" x14ac:dyDescent="0.2">
      <c r="G141" s="3"/>
      <c r="I141" s="3"/>
    </row>
    <row r="142" spans="7:9" x14ac:dyDescent="0.2">
      <c r="G142" s="3"/>
      <c r="I142" s="3"/>
    </row>
    <row r="143" spans="7:9" x14ac:dyDescent="0.2">
      <c r="G143" s="3"/>
      <c r="I143" s="3"/>
    </row>
    <row r="144" spans="7:9" x14ac:dyDescent="0.2">
      <c r="G144" s="3"/>
      <c r="I144" s="3"/>
    </row>
    <row r="145" spans="7:9" x14ac:dyDescent="0.2">
      <c r="G145" s="3"/>
      <c r="I145" s="3"/>
    </row>
    <row r="146" spans="7:9" x14ac:dyDescent="0.2">
      <c r="G146" s="3"/>
      <c r="I146" s="3"/>
    </row>
    <row r="147" spans="7:9" x14ac:dyDescent="0.2">
      <c r="G147" s="3"/>
      <c r="I147" s="3"/>
    </row>
    <row r="148" spans="7:9" x14ac:dyDescent="0.2">
      <c r="G148" s="3"/>
      <c r="I148" s="3"/>
    </row>
    <row r="149" spans="7:9" x14ac:dyDescent="0.2">
      <c r="G149" s="3"/>
      <c r="I149" s="3"/>
    </row>
    <row r="150" spans="7:9" x14ac:dyDescent="0.2">
      <c r="G150" s="3"/>
      <c r="I150" s="3"/>
    </row>
    <row r="151" spans="7:9" x14ac:dyDescent="0.2">
      <c r="G151" s="3"/>
      <c r="I151" s="3"/>
    </row>
    <row r="152" spans="7:9" x14ac:dyDescent="0.2">
      <c r="G152" s="3"/>
      <c r="I152" s="3"/>
    </row>
    <row r="153" spans="7:9" x14ac:dyDescent="0.2">
      <c r="G153" s="3"/>
      <c r="I153" s="3"/>
    </row>
    <row r="154" spans="7:9" x14ac:dyDescent="0.2">
      <c r="G154" s="3"/>
      <c r="I154" s="3"/>
    </row>
    <row r="155" spans="7:9" x14ac:dyDescent="0.2">
      <c r="G155" s="3"/>
      <c r="I155" s="3"/>
    </row>
    <row r="156" spans="7:9" x14ac:dyDescent="0.2">
      <c r="G156" s="3"/>
      <c r="I156" s="3"/>
    </row>
    <row r="157" spans="7:9" x14ac:dyDescent="0.2">
      <c r="G157" s="3"/>
      <c r="I157" s="3"/>
    </row>
    <row r="158" spans="7:9" x14ac:dyDescent="0.2">
      <c r="G158" s="3"/>
      <c r="I158" s="3"/>
    </row>
    <row r="159" spans="7:9" x14ac:dyDescent="0.2">
      <c r="G159" s="3"/>
      <c r="I159" s="3"/>
    </row>
    <row r="160" spans="7:9" x14ac:dyDescent="0.2">
      <c r="G160" s="3"/>
      <c r="I160" s="3"/>
    </row>
    <row r="161" spans="7:9" x14ac:dyDescent="0.2">
      <c r="G161" s="3"/>
      <c r="I161" s="3"/>
    </row>
    <row r="162" spans="7:9" x14ac:dyDescent="0.2">
      <c r="G162" s="3"/>
      <c r="I162" s="3"/>
    </row>
    <row r="163" spans="7:9" x14ac:dyDescent="0.2">
      <c r="G163" s="3"/>
      <c r="I163" s="3"/>
    </row>
    <row r="164" spans="7:9" x14ac:dyDescent="0.2">
      <c r="G164" s="3"/>
      <c r="I164" s="3"/>
    </row>
    <row r="165" spans="7:9" x14ac:dyDescent="0.2">
      <c r="G165" s="3"/>
      <c r="I165" s="3"/>
    </row>
    <row r="166" spans="7:9" x14ac:dyDescent="0.2">
      <c r="G166" s="3"/>
      <c r="I166" s="3"/>
    </row>
    <row r="167" spans="7:9" x14ac:dyDescent="0.2">
      <c r="G167" s="3"/>
      <c r="I167" s="3"/>
    </row>
    <row r="168" spans="7:9" x14ac:dyDescent="0.2">
      <c r="G168" s="3"/>
      <c r="I168" s="3"/>
    </row>
    <row r="169" spans="7:9" x14ac:dyDescent="0.2">
      <c r="G169" s="3"/>
      <c r="I169" s="3"/>
    </row>
    <row r="170" spans="7:9" x14ac:dyDescent="0.2">
      <c r="G170" s="3"/>
      <c r="I170" s="3"/>
    </row>
    <row r="171" spans="7:9" x14ac:dyDescent="0.2">
      <c r="G171" s="3"/>
      <c r="I171" s="3"/>
    </row>
    <row r="172" spans="7:9" x14ac:dyDescent="0.2">
      <c r="G172" s="3"/>
      <c r="I172" s="3"/>
    </row>
    <row r="173" spans="7:9" x14ac:dyDescent="0.2">
      <c r="G173" s="3"/>
      <c r="I173" s="3"/>
    </row>
    <row r="174" spans="7:9" x14ac:dyDescent="0.2">
      <c r="G174" s="3"/>
      <c r="I174" s="3"/>
    </row>
    <row r="175" spans="7:9" x14ac:dyDescent="0.2">
      <c r="G175" s="3"/>
      <c r="I175" s="3"/>
    </row>
    <row r="176" spans="7:9" x14ac:dyDescent="0.2">
      <c r="G176" s="3"/>
      <c r="I176" s="3"/>
    </row>
    <row r="177" spans="7:9" x14ac:dyDescent="0.2">
      <c r="G177" s="3"/>
      <c r="I177" s="3"/>
    </row>
    <row r="178" spans="7:9" x14ac:dyDescent="0.2">
      <c r="G178" s="3"/>
      <c r="I178" s="3"/>
    </row>
    <row r="179" spans="7:9" x14ac:dyDescent="0.2">
      <c r="G179" s="3"/>
      <c r="I179" s="3"/>
    </row>
    <row r="180" spans="7:9" x14ac:dyDescent="0.2">
      <c r="G180" s="3"/>
      <c r="I180" s="3"/>
    </row>
    <row r="181" spans="7:9" x14ac:dyDescent="0.2">
      <c r="G181" s="3"/>
      <c r="I181" s="3"/>
    </row>
    <row r="182" spans="7:9" x14ac:dyDescent="0.2">
      <c r="G182" s="3"/>
      <c r="I182" s="3"/>
    </row>
    <row r="183" spans="7:9" x14ac:dyDescent="0.2">
      <c r="G183" s="3"/>
      <c r="I183" s="3"/>
    </row>
    <row r="184" spans="7:9" x14ac:dyDescent="0.2">
      <c r="G184" s="3"/>
      <c r="I184" s="3"/>
    </row>
    <row r="185" spans="7:9" x14ac:dyDescent="0.2">
      <c r="G185" s="3"/>
      <c r="I185" s="3"/>
    </row>
    <row r="186" spans="7:9" x14ac:dyDescent="0.2">
      <c r="G186" s="3"/>
    </row>
    <row r="187" spans="7:9" x14ac:dyDescent="0.2">
      <c r="G187" s="3"/>
    </row>
    <row r="188" spans="7:9" x14ac:dyDescent="0.2">
      <c r="G188" s="3"/>
    </row>
    <row r="189" spans="7:9" x14ac:dyDescent="0.2">
      <c r="G189" s="3"/>
    </row>
    <row r="190" spans="7:9" x14ac:dyDescent="0.2">
      <c r="G190" s="3"/>
    </row>
    <row r="191" spans="7:9" x14ac:dyDescent="0.2">
      <c r="G191" s="3"/>
    </row>
    <row r="192" spans="7:9" x14ac:dyDescent="0.2">
      <c r="G192" s="3"/>
    </row>
    <row r="193" spans="7:7" x14ac:dyDescent="0.2">
      <c r="G193" s="3"/>
    </row>
    <row r="194" spans="7:7" x14ac:dyDescent="0.2">
      <c r="G194" s="3"/>
    </row>
    <row r="195" spans="7:7" x14ac:dyDescent="0.2">
      <c r="G195" s="3"/>
    </row>
    <row r="196" spans="7:7" x14ac:dyDescent="0.2">
      <c r="G196" s="3"/>
    </row>
    <row r="197" spans="7:7" x14ac:dyDescent="0.2">
      <c r="G197" s="3"/>
    </row>
    <row r="198" spans="7:7" x14ac:dyDescent="0.2">
      <c r="G198" s="3"/>
    </row>
    <row r="199" spans="7:7" x14ac:dyDescent="0.2">
      <c r="G199" s="3"/>
    </row>
    <row r="200" spans="7:7" x14ac:dyDescent="0.2">
      <c r="G200" s="3"/>
    </row>
    <row r="201" spans="7:7" x14ac:dyDescent="0.2">
      <c r="G201" s="3"/>
    </row>
    <row r="202" spans="7:7" x14ac:dyDescent="0.2">
      <c r="G202" s="3"/>
    </row>
    <row r="203" spans="7:7" x14ac:dyDescent="0.2">
      <c r="G203" s="3"/>
    </row>
    <row r="204" spans="7:7" x14ac:dyDescent="0.2">
      <c r="G204" s="3"/>
    </row>
    <row r="205" spans="7:7" x14ac:dyDescent="0.2">
      <c r="G205" s="3"/>
    </row>
    <row r="206" spans="7:7" x14ac:dyDescent="0.2">
      <c r="G206" s="3"/>
    </row>
    <row r="207" spans="7:7" x14ac:dyDescent="0.2">
      <c r="G207" s="3"/>
    </row>
    <row r="208" spans="7:7" x14ac:dyDescent="0.2">
      <c r="G208" s="3"/>
    </row>
    <row r="209" spans="7:7" x14ac:dyDescent="0.2">
      <c r="G209" s="3"/>
    </row>
    <row r="210" spans="7:7" x14ac:dyDescent="0.2">
      <c r="G210" s="3"/>
    </row>
    <row r="211" spans="7:7" x14ac:dyDescent="0.2">
      <c r="G211" s="3"/>
    </row>
    <row r="212" spans="7:7" x14ac:dyDescent="0.2">
      <c r="G212" s="3"/>
    </row>
    <row r="213" spans="7:7" x14ac:dyDescent="0.2">
      <c r="G213" s="3"/>
    </row>
    <row r="214" spans="7:7" x14ac:dyDescent="0.2">
      <c r="G214" s="3"/>
    </row>
    <row r="215" spans="7:7" x14ac:dyDescent="0.2">
      <c r="G215" s="3"/>
    </row>
    <row r="216" spans="7:7" x14ac:dyDescent="0.2">
      <c r="G216" s="3"/>
    </row>
    <row r="217" spans="7:7" x14ac:dyDescent="0.2">
      <c r="G217" s="3"/>
    </row>
    <row r="218" spans="7:7" x14ac:dyDescent="0.2">
      <c r="G218" s="3"/>
    </row>
    <row r="219" spans="7:7" x14ac:dyDescent="0.2">
      <c r="G219" s="3"/>
    </row>
    <row r="220" spans="7:7" x14ac:dyDescent="0.2">
      <c r="G220" s="3"/>
    </row>
    <row r="221" spans="7:7" x14ac:dyDescent="0.2">
      <c r="G221" s="3"/>
    </row>
    <row r="222" spans="7:7" x14ac:dyDescent="0.2">
      <c r="G222" s="3"/>
    </row>
    <row r="223" spans="7:7" x14ac:dyDescent="0.2">
      <c r="G223" s="3"/>
    </row>
    <row r="224" spans="7:7" x14ac:dyDescent="0.2">
      <c r="G224" s="3"/>
    </row>
    <row r="225" spans="7:7" x14ac:dyDescent="0.2">
      <c r="G225" s="3"/>
    </row>
    <row r="226" spans="7:7" x14ac:dyDescent="0.2">
      <c r="G226" s="3"/>
    </row>
    <row r="227" spans="7:7" x14ac:dyDescent="0.2">
      <c r="G227" s="3"/>
    </row>
    <row r="228" spans="7:7" x14ac:dyDescent="0.2">
      <c r="G228" s="3"/>
    </row>
    <row r="229" spans="7:7" x14ac:dyDescent="0.2">
      <c r="G229" s="3"/>
    </row>
    <row r="230" spans="7:7" x14ac:dyDescent="0.2">
      <c r="G230" s="3"/>
    </row>
    <row r="231" spans="7:7" x14ac:dyDescent="0.2">
      <c r="G231" s="3"/>
    </row>
    <row r="232" spans="7:7" x14ac:dyDescent="0.2">
      <c r="G232" s="3"/>
    </row>
    <row r="233" spans="7:7" x14ac:dyDescent="0.2">
      <c r="G233" s="3"/>
    </row>
    <row r="234" spans="7:7" x14ac:dyDescent="0.2">
      <c r="G234" s="3"/>
    </row>
    <row r="235" spans="7:7" x14ac:dyDescent="0.2">
      <c r="G235" s="3"/>
    </row>
    <row r="236" spans="7:7" x14ac:dyDescent="0.2">
      <c r="G236" s="3"/>
    </row>
    <row r="237" spans="7:7" x14ac:dyDescent="0.2">
      <c r="G237" s="3"/>
    </row>
    <row r="238" spans="7:7" x14ac:dyDescent="0.2">
      <c r="G238" s="3"/>
    </row>
    <row r="239" spans="7:7" x14ac:dyDescent="0.2">
      <c r="G239" s="3"/>
    </row>
    <row r="240" spans="7:7" x14ac:dyDescent="0.2">
      <c r="G240" s="3"/>
    </row>
    <row r="241" spans="7:7" x14ac:dyDescent="0.2">
      <c r="G241" s="3"/>
    </row>
    <row r="242" spans="7:7" x14ac:dyDescent="0.2">
      <c r="G242" s="3"/>
    </row>
    <row r="243" spans="7:7" x14ac:dyDescent="0.2">
      <c r="G243" s="3"/>
    </row>
    <row r="244" spans="7:7" x14ac:dyDescent="0.2">
      <c r="G244" s="3"/>
    </row>
    <row r="245" spans="7:7" x14ac:dyDescent="0.2">
      <c r="G245" s="3"/>
    </row>
    <row r="246" spans="7:7" x14ac:dyDescent="0.2">
      <c r="G246" s="3"/>
    </row>
    <row r="247" spans="7:7" x14ac:dyDescent="0.2">
      <c r="G247" s="3"/>
    </row>
    <row r="248" spans="7:7" x14ac:dyDescent="0.2">
      <c r="G248" s="3"/>
    </row>
    <row r="249" spans="7:7" x14ac:dyDescent="0.2">
      <c r="G249" s="3"/>
    </row>
    <row r="250" spans="7:7" x14ac:dyDescent="0.2">
      <c r="G250" s="3"/>
    </row>
    <row r="251" spans="7:7" x14ac:dyDescent="0.2">
      <c r="G251" s="3"/>
    </row>
    <row r="252" spans="7:7" x14ac:dyDescent="0.2">
      <c r="G252" s="3"/>
    </row>
    <row r="253" spans="7:7" x14ac:dyDescent="0.2">
      <c r="G253" s="3"/>
    </row>
    <row r="254" spans="7:7" x14ac:dyDescent="0.2">
      <c r="G254" s="3"/>
    </row>
    <row r="255" spans="7:7" x14ac:dyDescent="0.2">
      <c r="G255" s="3"/>
    </row>
    <row r="256" spans="7:7" x14ac:dyDescent="0.2">
      <c r="G256" s="3"/>
    </row>
    <row r="257" spans="7:7" x14ac:dyDescent="0.2">
      <c r="G257" s="3"/>
    </row>
    <row r="258" spans="7:7" x14ac:dyDescent="0.2">
      <c r="G258" s="3"/>
    </row>
    <row r="259" spans="7:7" x14ac:dyDescent="0.2">
      <c r="G259" s="3"/>
    </row>
    <row r="260" spans="7:7" x14ac:dyDescent="0.2">
      <c r="G260" s="3"/>
    </row>
    <row r="261" spans="7:7" x14ac:dyDescent="0.2">
      <c r="G261" s="3"/>
    </row>
    <row r="262" spans="7:7" x14ac:dyDescent="0.2">
      <c r="G262" s="3"/>
    </row>
    <row r="263" spans="7:7" x14ac:dyDescent="0.2">
      <c r="G263" s="3"/>
    </row>
    <row r="264" spans="7:7" x14ac:dyDescent="0.2">
      <c r="G264" s="3"/>
    </row>
    <row r="265" spans="7:7" x14ac:dyDescent="0.2">
      <c r="G265" s="3"/>
    </row>
    <row r="266" spans="7:7" x14ac:dyDescent="0.2">
      <c r="G266" s="3"/>
    </row>
    <row r="267" spans="7:7" x14ac:dyDescent="0.2">
      <c r="G267" s="3"/>
    </row>
    <row r="268" spans="7:7" x14ac:dyDescent="0.2">
      <c r="G268" s="3"/>
    </row>
    <row r="269" spans="7:7" x14ac:dyDescent="0.2">
      <c r="G269" s="3"/>
    </row>
    <row r="270" spans="7:7" x14ac:dyDescent="0.2">
      <c r="G270" s="3"/>
    </row>
    <row r="271" spans="7:7" x14ac:dyDescent="0.2">
      <c r="G271" s="3"/>
    </row>
    <row r="272" spans="7:7" x14ac:dyDescent="0.2">
      <c r="G272" s="3"/>
    </row>
    <row r="273" spans="7:7" x14ac:dyDescent="0.2">
      <c r="G273" s="3"/>
    </row>
    <row r="274" spans="7:7" x14ac:dyDescent="0.2">
      <c r="G274" s="3"/>
    </row>
    <row r="275" spans="7:7" x14ac:dyDescent="0.2">
      <c r="G275" s="3"/>
    </row>
    <row r="276" spans="7:7" x14ac:dyDescent="0.2">
      <c r="G276" s="3"/>
    </row>
    <row r="277" spans="7:7" x14ac:dyDescent="0.2">
      <c r="G277" s="3"/>
    </row>
    <row r="278" spans="7:7" x14ac:dyDescent="0.2">
      <c r="G278" s="3"/>
    </row>
    <row r="279" spans="7:7" x14ac:dyDescent="0.2">
      <c r="G279" s="3"/>
    </row>
    <row r="280" spans="7:7" x14ac:dyDescent="0.2">
      <c r="G280" s="3"/>
    </row>
    <row r="281" spans="7:7" x14ac:dyDescent="0.2">
      <c r="G281" s="3"/>
    </row>
    <row r="282" spans="7:7" x14ac:dyDescent="0.2">
      <c r="G282" s="3"/>
    </row>
    <row r="283" spans="7:7" x14ac:dyDescent="0.2">
      <c r="G283" s="3"/>
    </row>
    <row r="284" spans="7:7" x14ac:dyDescent="0.2">
      <c r="G284" s="3"/>
    </row>
    <row r="285" spans="7:7" x14ac:dyDescent="0.2">
      <c r="G285" s="3"/>
    </row>
    <row r="286" spans="7:7" x14ac:dyDescent="0.2">
      <c r="G286" s="3"/>
    </row>
    <row r="287" spans="7:7" x14ac:dyDescent="0.2">
      <c r="G287" s="3"/>
    </row>
    <row r="288" spans="7:7" x14ac:dyDescent="0.2">
      <c r="G288" s="3"/>
    </row>
    <row r="289" spans="7:7" x14ac:dyDescent="0.2">
      <c r="G289" s="3"/>
    </row>
    <row r="290" spans="7:7" x14ac:dyDescent="0.2">
      <c r="G290" s="3"/>
    </row>
    <row r="291" spans="7:7" x14ac:dyDescent="0.2">
      <c r="G291" s="3"/>
    </row>
    <row r="292" spans="7:7" x14ac:dyDescent="0.2">
      <c r="G292" s="3"/>
    </row>
    <row r="293" spans="7:7" x14ac:dyDescent="0.2">
      <c r="G293" s="3"/>
    </row>
    <row r="294" spans="7:7" x14ac:dyDescent="0.2">
      <c r="G294" s="3"/>
    </row>
    <row r="295" spans="7:7" x14ac:dyDescent="0.2">
      <c r="G295" s="3"/>
    </row>
    <row r="296" spans="7:7" x14ac:dyDescent="0.2">
      <c r="G296" s="3"/>
    </row>
    <row r="297" spans="7:7" x14ac:dyDescent="0.2">
      <c r="G297" s="3"/>
    </row>
  </sheetData>
  <autoFilter ref="A1:GA369" xr:uid="{00000000-0009-0000-0000-000000000000}"/>
  <printOptions gridLines="1"/>
  <pageMargins left="0.7" right="0.7" top="0.78750000000000009" bottom="0.78750000000000009" header="0.51180555555555496" footer="0.51180555555555496"/>
  <pageSetup paperSize="9" firstPageNumber="0" fitToWidth="0"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"/>
  <sheetViews>
    <sheetView workbookViewId="0">
      <selection activeCell="A21" sqref="A21"/>
    </sheetView>
  </sheetViews>
  <sheetFormatPr baseColWidth="10" defaultColWidth="10.6640625" defaultRowHeight="16" x14ac:dyDescent="0.2"/>
  <cols>
    <col min="1" max="1" width="31" bestFit="1" customWidth="1"/>
  </cols>
  <sheetData>
    <row r="1" spans="1:14" x14ac:dyDescent="0.2">
      <c r="B1" t="s">
        <v>173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</row>
    <row r="2" spans="1:14" x14ac:dyDescent="0.2">
      <c r="A2" t="s">
        <v>2</v>
      </c>
      <c r="B2" t="s">
        <v>174</v>
      </c>
      <c r="C2" t="s">
        <v>175</v>
      </c>
      <c r="D2" t="s">
        <v>176</v>
      </c>
    </row>
    <row r="3" spans="1:14" x14ac:dyDescent="0.2">
      <c r="A3" t="s">
        <v>3</v>
      </c>
      <c r="B3" t="s">
        <v>174</v>
      </c>
      <c r="C3" t="s">
        <v>177</v>
      </c>
      <c r="D3" t="s">
        <v>178</v>
      </c>
      <c r="E3" t="s">
        <v>179</v>
      </c>
    </row>
    <row r="4" spans="1:14" x14ac:dyDescent="0.2">
      <c r="A4" t="s">
        <v>6</v>
      </c>
      <c r="B4" t="s">
        <v>180</v>
      </c>
    </row>
    <row r="5" spans="1:14" x14ac:dyDescent="0.2">
      <c r="A5" t="s">
        <v>7</v>
      </c>
      <c r="B5" t="s">
        <v>180</v>
      </c>
    </row>
    <row r="6" spans="1:14" x14ac:dyDescent="0.2">
      <c r="A6" t="s">
        <v>8</v>
      </c>
      <c r="B6" t="s">
        <v>180</v>
      </c>
    </row>
    <row r="7" spans="1:14" x14ac:dyDescent="0.2">
      <c r="A7" t="s">
        <v>9</v>
      </c>
      <c r="B7" t="s">
        <v>181</v>
      </c>
      <c r="C7" t="s">
        <v>182</v>
      </c>
      <c r="D7" t="s">
        <v>183</v>
      </c>
      <c r="E7" t="s">
        <v>184</v>
      </c>
      <c r="F7" t="s">
        <v>185</v>
      </c>
      <c r="G7" t="s">
        <v>186</v>
      </c>
      <c r="H7" t="s">
        <v>187</v>
      </c>
      <c r="I7" t="s">
        <v>188</v>
      </c>
      <c r="J7" t="s">
        <v>189</v>
      </c>
      <c r="K7" t="s">
        <v>190</v>
      </c>
      <c r="L7" t="s">
        <v>191</v>
      </c>
      <c r="M7" t="s">
        <v>192</v>
      </c>
      <c r="N7" t="s">
        <v>193</v>
      </c>
    </row>
    <row r="8" spans="1:14" x14ac:dyDescent="0.2">
      <c r="A8" t="s">
        <v>10</v>
      </c>
      <c r="B8" t="s">
        <v>174</v>
      </c>
      <c r="C8" t="s">
        <v>194</v>
      </c>
      <c r="D8" t="s">
        <v>195</v>
      </c>
      <c r="E8" t="s">
        <v>196</v>
      </c>
      <c r="F8" t="s">
        <v>197</v>
      </c>
      <c r="G8" t="s">
        <v>198</v>
      </c>
      <c r="H8" t="s">
        <v>199</v>
      </c>
    </row>
    <row r="9" spans="1:14" x14ac:dyDescent="0.2">
      <c r="A9" t="s">
        <v>11</v>
      </c>
      <c r="B9" t="s">
        <v>174</v>
      </c>
      <c r="C9" t="s">
        <v>200</v>
      </c>
      <c r="D9" t="s">
        <v>201</v>
      </c>
      <c r="E9" t="s">
        <v>202</v>
      </c>
      <c r="F9" t="s">
        <v>203</v>
      </c>
      <c r="G9" t="s">
        <v>204</v>
      </c>
      <c r="H9" t="s">
        <v>205</v>
      </c>
      <c r="I9" t="s">
        <v>206</v>
      </c>
      <c r="J9" t="s">
        <v>207</v>
      </c>
      <c r="K9" t="s">
        <v>208</v>
      </c>
    </row>
    <row r="10" spans="1:14" x14ac:dyDescent="0.2">
      <c r="A10" t="s">
        <v>12</v>
      </c>
      <c r="B10" t="s">
        <v>174</v>
      </c>
      <c r="C10" t="s">
        <v>209</v>
      </c>
      <c r="D10" t="s">
        <v>210</v>
      </c>
      <c r="E10" t="s">
        <v>211</v>
      </c>
      <c r="F10" t="s">
        <v>212</v>
      </c>
      <c r="G10" t="s">
        <v>193</v>
      </c>
    </row>
    <row r="11" spans="1:14" x14ac:dyDescent="0.2">
      <c r="A11" t="s">
        <v>13</v>
      </c>
      <c r="B11" t="s">
        <v>213</v>
      </c>
    </row>
    <row r="12" spans="1:14" x14ac:dyDescent="0.2">
      <c r="A12" t="s">
        <v>14</v>
      </c>
      <c r="B12" t="s">
        <v>174</v>
      </c>
      <c r="C12" t="s">
        <v>214</v>
      </c>
      <c r="D12" t="s">
        <v>215</v>
      </c>
      <c r="E12" t="s">
        <v>216</v>
      </c>
      <c r="F12" t="s">
        <v>217</v>
      </c>
      <c r="G12" t="s">
        <v>193</v>
      </c>
    </row>
    <row r="13" spans="1:14" x14ac:dyDescent="0.2">
      <c r="A13" t="s">
        <v>15</v>
      </c>
      <c r="B13" t="s">
        <v>174</v>
      </c>
      <c r="C13" t="s">
        <v>218</v>
      </c>
      <c r="D13" t="s">
        <v>219</v>
      </c>
      <c r="E13" t="s">
        <v>220</v>
      </c>
      <c r="F13" t="s">
        <v>221</v>
      </c>
    </row>
    <row r="14" spans="1:14" x14ac:dyDescent="0.2">
      <c r="A14" t="s">
        <v>16</v>
      </c>
      <c r="B14" t="s">
        <v>174</v>
      </c>
      <c r="C14" t="s">
        <v>181</v>
      </c>
      <c r="D14" t="s">
        <v>222</v>
      </c>
      <c r="E14" t="s">
        <v>223</v>
      </c>
      <c r="F14" t="s">
        <v>224</v>
      </c>
      <c r="G14" t="s">
        <v>225</v>
      </c>
      <c r="H14" t="s">
        <v>193</v>
      </c>
    </row>
    <row r="15" spans="1:14" x14ac:dyDescent="0.2">
      <c r="A15" t="s">
        <v>17</v>
      </c>
      <c r="B15" t="s">
        <v>174</v>
      </c>
      <c r="C15" t="s">
        <v>181</v>
      </c>
      <c r="D15" t="s">
        <v>226</v>
      </c>
      <c r="E15" t="s">
        <v>227</v>
      </c>
      <c r="F15" t="s">
        <v>228</v>
      </c>
      <c r="G15" t="s">
        <v>193</v>
      </c>
    </row>
    <row r="16" spans="1:14" x14ac:dyDescent="0.2">
      <c r="A16" t="s">
        <v>18</v>
      </c>
      <c r="B16" t="s">
        <v>181</v>
      </c>
      <c r="C16" t="s">
        <v>214</v>
      </c>
      <c r="D16" t="s">
        <v>229</v>
      </c>
      <c r="E16" t="s">
        <v>230</v>
      </c>
    </row>
    <row r="17" spans="1:10" x14ac:dyDescent="0.2">
      <c r="A17" t="s">
        <v>19</v>
      </c>
      <c r="B17" t="s">
        <v>174</v>
      </c>
      <c r="C17" t="s">
        <v>214</v>
      </c>
      <c r="D17" t="s">
        <v>229</v>
      </c>
      <c r="E17" t="s">
        <v>230</v>
      </c>
    </row>
    <row r="18" spans="1:10" x14ac:dyDescent="0.2">
      <c r="A18" t="s">
        <v>20</v>
      </c>
      <c r="B18" t="s">
        <v>174</v>
      </c>
      <c r="C18" t="s">
        <v>214</v>
      </c>
      <c r="D18" t="s">
        <v>229</v>
      </c>
    </row>
    <row r="19" spans="1:10" x14ac:dyDescent="0.2">
      <c r="A19" t="s">
        <v>21</v>
      </c>
      <c r="B19" t="s">
        <v>174</v>
      </c>
      <c r="C19" t="s">
        <v>214</v>
      </c>
      <c r="D19" t="s">
        <v>229</v>
      </c>
    </row>
    <row r="20" spans="1:10" x14ac:dyDescent="0.2">
      <c r="A20" t="s">
        <v>22</v>
      </c>
      <c r="B20" t="s">
        <v>174</v>
      </c>
      <c r="C20" t="s">
        <v>214</v>
      </c>
      <c r="D20" t="s">
        <v>229</v>
      </c>
    </row>
    <row r="21" spans="1:10" x14ac:dyDescent="0.2">
      <c r="A21" t="s">
        <v>23</v>
      </c>
      <c r="B21" t="s">
        <v>181</v>
      </c>
      <c r="C21" t="s">
        <v>231</v>
      </c>
      <c r="D21" t="s">
        <v>232</v>
      </c>
      <c r="E21" t="s">
        <v>233</v>
      </c>
      <c r="F21" t="s">
        <v>234</v>
      </c>
    </row>
    <row r="22" spans="1:10" x14ac:dyDescent="0.2">
      <c r="A22" t="s">
        <v>24</v>
      </c>
      <c r="B22" t="s">
        <v>174</v>
      </c>
      <c r="C22" t="s">
        <v>231</v>
      </c>
      <c r="D22" t="s">
        <v>232</v>
      </c>
      <c r="E22" t="s">
        <v>233</v>
      </c>
      <c r="F22" t="s">
        <v>234</v>
      </c>
      <c r="G22" t="s">
        <v>235</v>
      </c>
    </row>
    <row r="23" spans="1:10" x14ac:dyDescent="0.2">
      <c r="A23" t="s">
        <v>25</v>
      </c>
      <c r="B23" t="s">
        <v>174</v>
      </c>
      <c r="C23" t="s">
        <v>236</v>
      </c>
      <c r="D23" t="s">
        <v>237</v>
      </c>
      <c r="E23" t="s">
        <v>238</v>
      </c>
      <c r="F23" t="s">
        <v>239</v>
      </c>
      <c r="G23" t="s">
        <v>240</v>
      </c>
      <c r="H23" t="s">
        <v>241</v>
      </c>
      <c r="I23" t="s">
        <v>193</v>
      </c>
    </row>
    <row r="24" spans="1:10" x14ac:dyDescent="0.2">
      <c r="A24" t="s">
        <v>26</v>
      </c>
      <c r="B24" t="s">
        <v>181</v>
      </c>
      <c r="C24" t="s">
        <v>231</v>
      </c>
      <c r="D24" t="s">
        <v>232</v>
      </c>
      <c r="E24" t="s">
        <v>233</v>
      </c>
      <c r="F24" t="s">
        <v>234</v>
      </c>
      <c r="G24" t="s">
        <v>235</v>
      </c>
    </row>
    <row r="25" spans="1:10" x14ac:dyDescent="0.2">
      <c r="A25" t="s">
        <v>27</v>
      </c>
      <c r="B25" t="s">
        <v>174</v>
      </c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H25" t="s">
        <v>241</v>
      </c>
      <c r="I25" t="s">
        <v>193</v>
      </c>
    </row>
    <row r="26" spans="1:10" x14ac:dyDescent="0.2">
      <c r="A26" t="s">
        <v>28</v>
      </c>
      <c r="B26" t="s">
        <v>181</v>
      </c>
      <c r="C26" t="s">
        <v>242</v>
      </c>
      <c r="D26" t="s">
        <v>243</v>
      </c>
      <c r="E26" t="s">
        <v>244</v>
      </c>
      <c r="F26" t="s">
        <v>245</v>
      </c>
      <c r="G26" t="s">
        <v>246</v>
      </c>
      <c r="H26" t="s">
        <v>247</v>
      </c>
      <c r="I26" t="s">
        <v>248</v>
      </c>
    </row>
    <row r="27" spans="1:10" x14ac:dyDescent="0.2">
      <c r="A27" t="s">
        <v>29</v>
      </c>
      <c r="B27" t="s">
        <v>181</v>
      </c>
      <c r="C27" t="s">
        <v>242</v>
      </c>
      <c r="D27" t="s">
        <v>243</v>
      </c>
      <c r="E27" t="s">
        <v>244</v>
      </c>
      <c r="F27" t="s">
        <v>245</v>
      </c>
      <c r="G27" t="s">
        <v>246</v>
      </c>
      <c r="H27" t="s">
        <v>247</v>
      </c>
      <c r="I27" t="s">
        <v>248</v>
      </c>
      <c r="J27" t="s">
        <v>249</v>
      </c>
    </row>
    <row r="28" spans="1:10" x14ac:dyDescent="0.2">
      <c r="A28" t="s">
        <v>30</v>
      </c>
      <c r="B28" t="s">
        <v>174</v>
      </c>
      <c r="C28" t="s">
        <v>214</v>
      </c>
      <c r="D28" t="s">
        <v>229</v>
      </c>
      <c r="E28" t="s">
        <v>250</v>
      </c>
    </row>
    <row r="29" spans="1:10" x14ac:dyDescent="0.2">
      <c r="A29" t="s">
        <v>31</v>
      </c>
      <c r="B29" t="s">
        <v>174</v>
      </c>
      <c r="C29" t="s">
        <v>214</v>
      </c>
      <c r="D29" t="s">
        <v>229</v>
      </c>
      <c r="E29" t="s">
        <v>250</v>
      </c>
    </row>
    <row r="30" spans="1:10" x14ac:dyDescent="0.2">
      <c r="A30" t="s">
        <v>32</v>
      </c>
      <c r="B30" t="s">
        <v>174</v>
      </c>
      <c r="C30" t="s">
        <v>214</v>
      </c>
      <c r="D30" t="s">
        <v>229</v>
      </c>
      <c r="E30" t="s">
        <v>250</v>
      </c>
    </row>
    <row r="31" spans="1:10" x14ac:dyDescent="0.2">
      <c r="A31" t="s">
        <v>33</v>
      </c>
      <c r="B31" t="s">
        <v>174</v>
      </c>
      <c r="C31" t="s">
        <v>214</v>
      </c>
      <c r="D31" t="s">
        <v>229</v>
      </c>
      <c r="E31" t="s">
        <v>250</v>
      </c>
    </row>
    <row r="32" spans="1:10" x14ac:dyDescent="0.2">
      <c r="A32" t="s">
        <v>50</v>
      </c>
      <c r="B32" t="s">
        <v>174</v>
      </c>
      <c r="C32">
        <v>0</v>
      </c>
      <c r="D32" s="4">
        <v>1</v>
      </c>
      <c r="E32" s="4">
        <v>1.5</v>
      </c>
      <c r="F32">
        <v>2</v>
      </c>
      <c r="G32">
        <v>2.5</v>
      </c>
      <c r="H32">
        <v>3</v>
      </c>
      <c r="I32">
        <v>4</v>
      </c>
      <c r="J32">
        <v>5</v>
      </c>
    </row>
    <row r="33" spans="1:9" x14ac:dyDescent="0.2">
      <c r="A33" t="s">
        <v>251</v>
      </c>
      <c r="B33" t="s">
        <v>174</v>
      </c>
      <c r="C33" t="s">
        <v>231</v>
      </c>
      <c r="D33" t="s">
        <v>252</v>
      </c>
      <c r="E33" t="s">
        <v>253</v>
      </c>
      <c r="F33" t="s">
        <v>254</v>
      </c>
      <c r="G33" t="s">
        <v>255</v>
      </c>
    </row>
    <row r="34" spans="1:9" x14ac:dyDescent="0.2">
      <c r="A34" t="s">
        <v>256</v>
      </c>
      <c r="B34" t="s">
        <v>174</v>
      </c>
      <c r="C34" t="s">
        <v>257</v>
      </c>
      <c r="D34" t="s">
        <v>258</v>
      </c>
      <c r="E34" t="s">
        <v>259</v>
      </c>
      <c r="F34" t="s">
        <v>260</v>
      </c>
      <c r="G34" t="s">
        <v>261</v>
      </c>
    </row>
    <row r="35" spans="1:9" x14ac:dyDescent="0.2">
      <c r="A35" t="s">
        <v>262</v>
      </c>
      <c r="B35" t="s">
        <v>174</v>
      </c>
      <c r="C35" t="s">
        <v>263</v>
      </c>
      <c r="D35" t="s">
        <v>264</v>
      </c>
      <c r="E35" t="s">
        <v>265</v>
      </c>
    </row>
    <row r="36" spans="1:9" x14ac:dyDescent="0.2">
      <c r="A36" t="s">
        <v>266</v>
      </c>
      <c r="B36" t="s">
        <v>174</v>
      </c>
      <c r="C36">
        <v>0</v>
      </c>
      <c r="D36">
        <v>1</v>
      </c>
      <c r="E36">
        <v>2</v>
      </c>
      <c r="F36">
        <v>3</v>
      </c>
    </row>
    <row r="37" spans="1:9" x14ac:dyDescent="0.2">
      <c r="A37" t="s">
        <v>267</v>
      </c>
      <c r="B37" t="s">
        <v>174</v>
      </c>
      <c r="C37">
        <v>0</v>
      </c>
      <c r="D37">
        <v>1</v>
      </c>
      <c r="E37">
        <v>2</v>
      </c>
      <c r="F37">
        <v>3</v>
      </c>
      <c r="G37">
        <v>4</v>
      </c>
      <c r="H37">
        <v>5</v>
      </c>
      <c r="I37">
        <v>6</v>
      </c>
    </row>
    <row r="38" spans="1:9" x14ac:dyDescent="0.2">
      <c r="A38" t="s">
        <v>171</v>
      </c>
      <c r="B38" t="s">
        <v>174</v>
      </c>
      <c r="C38" t="s">
        <v>268</v>
      </c>
      <c r="D38" t="s">
        <v>269</v>
      </c>
      <c r="E38" t="s">
        <v>270</v>
      </c>
      <c r="F38" t="s">
        <v>271</v>
      </c>
      <c r="G38" t="s">
        <v>272</v>
      </c>
      <c r="H38" t="s">
        <v>273</v>
      </c>
    </row>
    <row r="39" spans="1:9" x14ac:dyDescent="0.2">
      <c r="A39" t="s">
        <v>172</v>
      </c>
      <c r="B39" t="s">
        <v>174</v>
      </c>
      <c r="C39" t="s">
        <v>214</v>
      </c>
      <c r="D39" t="s">
        <v>229</v>
      </c>
    </row>
  </sheetData>
  <printOptions gridLines="1"/>
  <pageMargins left="0.7" right="0.7" top="0.78750000000000009" bottom="0.78750000000000009" header="0.51180555555555496" footer="0.51180555555555496"/>
  <pageSetup paperSize="9" firstPageNumber="0" fitToWidth="0"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selection activeCell="C6" sqref="C6"/>
    </sheetView>
  </sheetViews>
  <sheetFormatPr baseColWidth="10" defaultColWidth="10.6640625" defaultRowHeight="16" x14ac:dyDescent="0.2"/>
  <cols>
    <col min="1" max="1" width="21.33203125" bestFit="1" customWidth="1"/>
  </cols>
  <sheetData>
    <row r="1" spans="1:2" x14ac:dyDescent="0.2">
      <c r="A1" t="s">
        <v>274</v>
      </c>
    </row>
    <row r="2" spans="1:2" x14ac:dyDescent="0.2">
      <c r="A2" t="s">
        <v>35</v>
      </c>
      <c r="B2" s="3">
        <v>1</v>
      </c>
    </row>
    <row r="3" spans="1:2" x14ac:dyDescent="0.2">
      <c r="A3" t="s">
        <v>36</v>
      </c>
      <c r="B3" s="3">
        <v>0.75</v>
      </c>
    </row>
    <row r="4" spans="1:2" x14ac:dyDescent="0.2">
      <c r="A4" t="s">
        <v>37</v>
      </c>
      <c r="B4" s="3">
        <v>0.33</v>
      </c>
    </row>
    <row r="5" spans="1:2" x14ac:dyDescent="0.2">
      <c r="A5" t="s">
        <v>38</v>
      </c>
      <c r="B5" s="3">
        <v>0.5</v>
      </c>
    </row>
    <row r="6" spans="1:2" x14ac:dyDescent="0.2">
      <c r="A6" t="s">
        <v>39</v>
      </c>
      <c r="B6" s="3">
        <v>100</v>
      </c>
    </row>
    <row r="7" spans="1:2" x14ac:dyDescent="0.2">
      <c r="A7" t="s">
        <v>40</v>
      </c>
      <c r="B7" s="3">
        <v>20</v>
      </c>
    </row>
    <row r="8" spans="1:2" x14ac:dyDescent="0.2">
      <c r="A8" t="s">
        <v>41</v>
      </c>
      <c r="B8" s="3">
        <v>30</v>
      </c>
    </row>
    <row r="9" spans="1:2" x14ac:dyDescent="0.2">
      <c r="A9" t="s">
        <v>42</v>
      </c>
      <c r="B9" s="3">
        <v>10</v>
      </c>
    </row>
    <row r="10" spans="1:2" x14ac:dyDescent="0.2">
      <c r="A10" t="s">
        <v>43</v>
      </c>
      <c r="B10" s="3">
        <v>80</v>
      </c>
    </row>
    <row r="11" spans="1:2" x14ac:dyDescent="0.2">
      <c r="A11" t="s">
        <v>44</v>
      </c>
      <c r="B11" s="3">
        <v>100</v>
      </c>
    </row>
    <row r="12" spans="1:2" x14ac:dyDescent="0.2">
      <c r="A12" t="s">
        <v>45</v>
      </c>
      <c r="B12" s="3">
        <v>1</v>
      </c>
    </row>
    <row r="13" spans="1:2" x14ac:dyDescent="0.2">
      <c r="A13" t="s">
        <v>46</v>
      </c>
      <c r="B13" s="3">
        <v>10</v>
      </c>
    </row>
    <row r="14" spans="1:2" x14ac:dyDescent="0.2">
      <c r="A14" t="s">
        <v>47</v>
      </c>
      <c r="B14" s="3">
        <v>1</v>
      </c>
    </row>
    <row r="15" spans="1:2" x14ac:dyDescent="0.2">
      <c r="A15" t="s">
        <v>48</v>
      </c>
      <c r="B15" s="3">
        <v>1</v>
      </c>
    </row>
    <row r="16" spans="1:2" x14ac:dyDescent="0.2">
      <c r="A16" t="s">
        <v>275</v>
      </c>
      <c r="B16" s="3">
        <v>0.33</v>
      </c>
    </row>
  </sheetData>
  <printOptions gridLines="1"/>
  <pageMargins left="0.7" right="0.7" top="0.78750000000000009" bottom="0.78750000000000009" header="0.51180555555555496" footer="0.51180555555555496"/>
  <pageSetup paperSize="9" firstPageNumber="0" fitToWidth="0"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zoomScale="150" workbookViewId="0">
      <selection activeCell="C7" sqref="C7"/>
    </sheetView>
  </sheetViews>
  <sheetFormatPr baseColWidth="10" defaultColWidth="10.5" defaultRowHeight="16" x14ac:dyDescent="0.2"/>
  <sheetData>
    <row r="1" spans="1:1" x14ac:dyDescent="0.2">
      <c r="A1" t="str">
        <f>raw_data!A1</f>
        <v>subj</v>
      </c>
    </row>
    <row r="2" spans="1:1" x14ac:dyDescent="0.2">
      <c r="A2">
        <f>raw_data!A2</f>
        <v>1</v>
      </c>
    </row>
  </sheetData>
  <printOptions gridLines="1"/>
  <pageMargins left="0.78750000000000009" right="0.78750000000000009" top="1.05277777777778" bottom="1.05277777777778" header="0.78750000000000009" footer="0.78750000000000009"/>
  <pageSetup paperSize="9" firstPageNumber="0" fitToWidth="0" fitToHeight="0" orientation="portrait" horizontalDpi="300" verticalDpi="300"/>
  <headerFooter>
    <oddHeader>&amp;C&amp;"Times New Roman,Standard"&amp;A</oddHeader>
    <oddFooter>&amp;C&amp;"Times New Roman,Standard"Seite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raw_data</vt:lpstr>
      <vt:lpstr>explanatios</vt:lpstr>
      <vt:lpstr>ledd</vt:lpstr>
      <vt:lpstr>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Anna Pedrosa</cp:lastModifiedBy>
  <cp:revision>34</cp:revision>
  <dcterms:created xsi:type="dcterms:W3CDTF">2021-05-23T12:12:22Z</dcterms:created>
  <dcterms:modified xsi:type="dcterms:W3CDTF">2024-08-30T08:11:42Z</dcterms:modified>
  <dc:language>de-DE</dc:language>
</cp:coreProperties>
</file>